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7e86ed6b30f2b/Documents/College/Y4S2/INFO 3401/Portfolio Project 2/"/>
    </mc:Choice>
  </mc:AlternateContent>
  <xr:revisionPtr revIDLastSave="90" documentId="8_{C14E98F4-E85A-4FDA-9E6A-B6ED462181A8}" xr6:coauthVersionLast="47" xr6:coauthVersionMax="47" xr10:uidLastSave="{5B4C827A-F682-4177-80C9-5FFF67D66989}"/>
  <bookViews>
    <workbookView xWindow="38280" yWindow="-120" windowWidth="38640" windowHeight="21120" xr2:uid="{75324C80-B1E6-4537-B4EF-CCD61596DD0A}"/>
  </bookViews>
  <sheets>
    <sheet name="Dashboard" sheetId="1" r:id="rId1"/>
    <sheet name="Raw_data" sheetId="3" r:id="rId2"/>
    <sheet name="Data Dictionary" sheetId="4" r:id="rId3"/>
    <sheet name="Pivot Tables" sheetId="6" r:id="rId4"/>
    <sheet name="Attrition Analysis" sheetId="7" r:id="rId5"/>
  </sheets>
  <definedNames>
    <definedName name="Total_Active">'Attrition Analysis'!$D$11</definedName>
    <definedName name="Total_Employees">'Attrition Analysis'!$B$11</definedName>
    <definedName name="Total_Terminations">'Attrition Analysis'!$C$11</definedName>
  </definedNames>
  <calcPr calcId="0"/>
  <pivotCaches>
    <pivotCache cacheId="35" r:id="rId6"/>
  </pivotCaches>
</workbook>
</file>

<file path=xl/calcChain.xml><?xml version="1.0" encoding="utf-8"?>
<calcChain xmlns="http://schemas.openxmlformats.org/spreadsheetml/2006/main">
  <c r="K10" i="7" l="1"/>
  <c r="K6" i="7"/>
  <c r="M6" i="7" s="1"/>
  <c r="K8" i="7"/>
  <c r="K7" i="7"/>
  <c r="K9" i="7"/>
  <c r="M9" i="7" s="1"/>
  <c r="K11" i="7"/>
  <c r="K12" i="7"/>
  <c r="M12" i="7" s="1"/>
  <c r="K13" i="7"/>
  <c r="K5" i="7"/>
  <c r="M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5" i="7"/>
  <c r="H5" i="7" s="1"/>
  <c r="A8" i="7"/>
  <c r="C8" i="7" s="1"/>
  <c r="A9" i="7"/>
  <c r="C9" i="7" s="1"/>
  <c r="A6" i="7"/>
  <c r="C6" i="7" s="1"/>
  <c r="A7" i="7"/>
  <c r="B7" i="7" s="1"/>
  <c r="A10" i="7"/>
  <c r="B10" i="7" s="1"/>
  <c r="A5" i="7"/>
  <c r="C5" i="7" s="1"/>
  <c r="M11" i="7" l="1"/>
  <c r="M13" i="7"/>
  <c r="M7" i="7"/>
  <c r="M8" i="7"/>
  <c r="M10" i="7"/>
  <c r="L5" i="7"/>
  <c r="N5" i="7" s="1"/>
  <c r="L13" i="7"/>
  <c r="N13" i="7" s="1"/>
  <c r="L11" i="7"/>
  <c r="N11" i="7" s="1"/>
  <c r="L10" i="7"/>
  <c r="N10" i="7" s="1"/>
  <c r="L12" i="7"/>
  <c r="N12" i="7" s="1"/>
  <c r="L7" i="7"/>
  <c r="N7" i="7" s="1"/>
  <c r="L8" i="7"/>
  <c r="N8" i="7" s="1"/>
  <c r="B9" i="7"/>
  <c r="D9" i="7" s="1"/>
  <c r="B8" i="7"/>
  <c r="D8" i="7" s="1"/>
  <c r="B5" i="7"/>
  <c r="E5" i="7" s="1"/>
  <c r="B6" i="7"/>
  <c r="D6" i="7" s="1"/>
  <c r="C10" i="7"/>
  <c r="E10" i="7" s="1"/>
  <c r="L9" i="7"/>
  <c r="N9" i="7" s="1"/>
  <c r="L6" i="7"/>
  <c r="N6" i="7" s="1"/>
  <c r="C7" i="7"/>
  <c r="D7" i="7" s="1"/>
  <c r="D9" i="6"/>
  <c r="D8" i="6"/>
  <c r="D7" i="6"/>
  <c r="D5" i="6"/>
  <c r="D6" i="6"/>
  <c r="D4" i="6"/>
  <c r="E8" i="7" l="1"/>
  <c r="E6" i="7"/>
  <c r="D5" i="7"/>
  <c r="E9" i="7"/>
  <c r="B11" i="7"/>
  <c r="C11" i="7"/>
  <c r="I11" i="7" s="1"/>
  <c r="E7" i="7"/>
  <c r="D10" i="7"/>
  <c r="D11" i="7"/>
  <c r="I13" i="7"/>
  <c r="I7" i="7" l="1"/>
  <c r="I10" i="7"/>
  <c r="I8" i="7"/>
  <c r="I5" i="7"/>
  <c r="I6" i="7"/>
  <c r="I14" i="7"/>
  <c r="I9" i="7"/>
  <c r="I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Fish</author>
  </authors>
  <commentList>
    <comment ref="B1" authorId="0" shapeId="0" xr:uid="{A90C0338-E50D-466A-8CCF-2B64A75AA51A}">
      <text>
        <r>
          <rPr>
            <sz val="9"/>
            <color indexed="81"/>
            <rFont val="Tahoma"/>
            <family val="2"/>
          </rPr>
          <t xml:space="preserve">Unique Employee ID
</t>
        </r>
      </text>
    </comment>
    <comment ref="C1" authorId="0" shapeId="0" xr:uid="{9B1E209D-D588-45AA-92FA-38D5E78B45D0}">
      <text>
        <r>
          <rPr>
            <sz val="9"/>
            <color indexed="81"/>
            <rFont val="Tahoma"/>
            <family val="2"/>
          </rPr>
          <t xml:space="preserve">1 = Yes,
0 = No
</t>
        </r>
      </text>
    </comment>
    <comment ref="D1" authorId="0" shapeId="0" xr:uid="{E63256B4-B3B6-4831-BBC2-DF89B248C62E}">
      <text>
        <r>
          <rPr>
            <sz val="9"/>
            <color indexed="81"/>
            <rFont val="Tahoma"/>
            <family val="2"/>
          </rPr>
          <t>0 = Single
1 = Married
2 = Divorced
3 = Separated
4 = Widowed</t>
        </r>
      </text>
    </comment>
    <comment ref="E1" authorId="0" shapeId="0" xr:uid="{52908BB7-CDD3-4856-9BA8-E1174A311837}">
      <text>
        <r>
          <rPr>
            <sz val="9"/>
            <color indexed="81"/>
            <rFont val="Tahoma"/>
            <family val="2"/>
          </rPr>
          <t xml:space="preserve">0 = Female
1 = Male
</t>
        </r>
      </text>
    </comment>
    <comment ref="F1" authorId="0" shapeId="0" xr:uid="{5BEBD3BA-F1AB-490C-A70A-699A1DF02283}">
      <text>
        <r>
          <rPr>
            <sz val="9"/>
            <color indexed="81"/>
            <rFont val="Tahoma"/>
            <family val="2"/>
          </rPr>
          <t xml:space="preserve">0/1/2/3 = Active
4 = Terminated for Cause
5 = Voluntarily Terminated
</t>
        </r>
      </text>
    </comment>
    <comment ref="G1" authorId="0" shapeId="0" xr:uid="{B78A8823-D9C7-4968-8E08-C678DBC96538}">
      <text>
        <r>
          <rPr>
            <sz val="9"/>
            <color indexed="81"/>
            <rFont val="Tahoma"/>
            <family val="2"/>
          </rPr>
          <t xml:space="preserve">1 = Admin Office
2 = Executive Office
3 = IT/IS
4 = Software Engineer
5 = Production
6 = Sales
</t>
        </r>
      </text>
    </comment>
    <comment ref="H1" authorId="0" shapeId="0" xr:uid="{D56E4B29-CC3A-418D-897B-AD1DBF5563FE}">
      <text>
        <r>
          <rPr>
            <sz val="9"/>
            <color indexed="81"/>
            <rFont val="Tahoma"/>
            <family val="2"/>
          </rPr>
          <t xml:space="preserve">1 = PIP
2 = Needs Improvement
3 = Fully Meets
4 = Exceeds
</t>
        </r>
      </text>
    </comment>
    <comment ref="I1" authorId="0" shapeId="0" xr:uid="{C7B15682-496B-43CF-A0E8-B4C6A153E768}">
      <text>
        <r>
          <rPr>
            <sz val="9"/>
            <color indexed="81"/>
            <rFont val="Tahoma"/>
            <family val="2"/>
          </rPr>
          <t>1 = Yes
0 = No</t>
        </r>
      </text>
    </comment>
    <comment ref="K1" authorId="0" shapeId="0" xr:uid="{74A143F2-C772-4C56-A569-7B606F5C5D0D}">
      <text>
        <r>
          <rPr>
            <sz val="9"/>
            <color indexed="81"/>
            <rFont val="Tahoma"/>
            <family val="2"/>
          </rPr>
          <t>1 = Terminated
0 = Not Terminated</t>
        </r>
      </text>
    </comment>
    <comment ref="AF1" authorId="0" shapeId="0" xr:uid="{D243EE52-EDE3-480A-81A6-73A9F6B586BB}">
      <text>
        <r>
          <rPr>
            <sz val="9"/>
            <color indexed="81"/>
            <rFont val="Tahoma"/>
            <family val="2"/>
          </rPr>
          <t>On a scale of 1 to 5</t>
        </r>
      </text>
    </comment>
    <comment ref="AG1" authorId="0" shapeId="0" xr:uid="{807BC5EF-9A1F-4484-AC23-DDD31BE28F37}">
      <text>
        <r>
          <rPr>
            <sz val="9"/>
            <color indexed="81"/>
            <rFont val="Tahoma"/>
            <family val="2"/>
          </rPr>
          <t># of special projects completed in the last 6 months</t>
        </r>
      </text>
    </comment>
    <comment ref="AI1" authorId="0" shapeId="0" xr:uid="{E4297361-7071-4F39-80E8-64DE6A0682CD}">
      <text>
        <r>
          <rPr>
            <sz val="9"/>
            <color indexed="81"/>
            <rFont val="Tahoma"/>
            <family val="2"/>
          </rPr>
          <t>Times employee was late to work in the last 30 days</t>
        </r>
      </text>
    </comment>
    <comment ref="AJ1" authorId="0" shapeId="0" xr:uid="{762E722C-5580-490D-9C2C-027198917F06}">
      <text>
        <r>
          <rPr>
            <sz val="9"/>
            <color indexed="81"/>
            <rFont val="Tahoma"/>
            <family val="2"/>
          </rPr>
          <t xml:space="preserve">All time absences
</t>
        </r>
      </text>
    </comment>
  </commentList>
</comments>
</file>

<file path=xl/sharedStrings.xml><?xml version="1.0" encoding="utf-8"?>
<sst xmlns="http://schemas.openxmlformats.org/spreadsheetml/2006/main" count="4589" uniqueCount="564">
  <si>
    <t xml:space="preserve">  Company HR Analytics Dashboard | FY 2010-2023</t>
  </si>
  <si>
    <t>Total Employees</t>
  </si>
  <si>
    <t>Active Employees</t>
  </si>
  <si>
    <t>Terminated</t>
  </si>
  <si>
    <t>Avg, Attrition Rate</t>
  </si>
  <si>
    <t>Key Findings</t>
  </si>
  <si>
    <t xml:space="preserve">   The production department drives nearly 80% of overall company attrition (80 terminations out of 104 total).</t>
  </si>
  <si>
    <t xml:space="preserve">   Amy Dunn and Kissy Sullivan run the highest team attrition rate at 62% and 55% respectively. This is nearly double company average. Review is recommended. </t>
  </si>
  <si>
    <t>Fully Meets</t>
  </si>
  <si>
    <t>LinkedIn</t>
  </si>
  <si>
    <t>David Stanley</t>
  </si>
  <si>
    <t xml:space="preserve">Production       </t>
  </si>
  <si>
    <t>Active</t>
  </si>
  <si>
    <t>N/A-StillEmployed</t>
  </si>
  <si>
    <t>Asian</t>
  </si>
  <si>
    <t>No</t>
  </si>
  <si>
    <t>US Citizen</t>
  </si>
  <si>
    <t>Widowed</t>
  </si>
  <si>
    <t>F</t>
  </si>
  <si>
    <t>MA</t>
  </si>
  <si>
    <t>Production Technician I</t>
  </si>
  <si>
    <t>Zima, Colleen</t>
  </si>
  <si>
    <t>Employee Referral</t>
  </si>
  <si>
    <t>Simon Roup</t>
  </si>
  <si>
    <t>IT/IS</t>
  </si>
  <si>
    <t>White</t>
  </si>
  <si>
    <t>Single</t>
  </si>
  <si>
    <t>Data Analyst</t>
  </si>
  <si>
    <t>Zhou, Julia</t>
  </si>
  <si>
    <t>Exceeds</t>
  </si>
  <si>
    <t>Janet King</t>
  </si>
  <si>
    <t>CIO</t>
  </si>
  <si>
    <t>Zamora, Jennifer</t>
  </si>
  <si>
    <t>PIP</t>
  </si>
  <si>
    <t>Google Search</t>
  </si>
  <si>
    <t>Brannon Miller</t>
  </si>
  <si>
    <t>Voluntarily Terminated</t>
  </si>
  <si>
    <t>Another position</t>
  </si>
  <si>
    <t xml:space="preserve">Ybarra, Catherine </t>
  </si>
  <si>
    <t>Kissy Sullivan</t>
  </si>
  <si>
    <t xml:space="preserve">M </t>
  </si>
  <si>
    <t>Production Technician II</t>
  </si>
  <si>
    <t>Woodson, Jason</t>
  </si>
  <si>
    <t>Wolk, Hang  T</t>
  </si>
  <si>
    <t>retiring</t>
  </si>
  <si>
    <t xml:space="preserve">Winthrop, Jordan  </t>
  </si>
  <si>
    <t>Diversity Job Fair</t>
  </si>
  <si>
    <t>Ketsia Liebig</t>
  </si>
  <si>
    <t>relocation out of area</t>
  </si>
  <si>
    <t>Black or African American</t>
  </si>
  <si>
    <t>Yes</t>
  </si>
  <si>
    <t xml:space="preserve">Williams, Jacquelyn  </t>
  </si>
  <si>
    <t>Divorced</t>
  </si>
  <si>
    <t>Wilkes, Annie</t>
  </si>
  <si>
    <t>Website</t>
  </si>
  <si>
    <t>Amy Dunn</t>
  </si>
  <si>
    <t>unhappy</t>
  </si>
  <si>
    <t>Eligible NonCitizen</t>
  </si>
  <si>
    <t>Married</t>
  </si>
  <si>
    <t>Wilber, Barry</t>
  </si>
  <si>
    <t>Webster Butler</t>
  </si>
  <si>
    <t>hours</t>
  </si>
  <si>
    <t>Whittier, Scott</t>
  </si>
  <si>
    <t>Peter Monroe</t>
  </si>
  <si>
    <t>Sr. Network Engineer</t>
  </si>
  <si>
    <t>Warfield, Sarah</t>
  </si>
  <si>
    <t>Indeed</t>
  </si>
  <si>
    <t>Brian Champaigne</t>
  </si>
  <si>
    <t>Senior BI Developer</t>
  </si>
  <si>
    <t>Wang, Charlie</t>
  </si>
  <si>
    <t>Needs Improvement</t>
  </si>
  <si>
    <t>CareerBuilder</t>
  </si>
  <si>
    <t>Elijiah Gray</t>
  </si>
  <si>
    <t>career change</t>
  </si>
  <si>
    <t>Wallace, Theresa</t>
  </si>
  <si>
    <t>Production Manager</t>
  </si>
  <si>
    <t>Wallace, Courtney  E</t>
  </si>
  <si>
    <t>Walker, Roger</t>
  </si>
  <si>
    <t>Michael Albert</t>
  </si>
  <si>
    <t>Von Massenbach, Anna</t>
  </si>
  <si>
    <t>Kelley Spirea</t>
  </si>
  <si>
    <t>Terminated for Cause</t>
  </si>
  <si>
    <t>gross misconduct</t>
  </si>
  <si>
    <t>Volk, Colleen</t>
  </si>
  <si>
    <t>no-call, no-show</t>
  </si>
  <si>
    <t>Database Administrator</t>
  </si>
  <si>
    <t>Voldemort, Lord</t>
  </si>
  <si>
    <t>John Smith</t>
  </si>
  <si>
    <t>Sales</t>
  </si>
  <si>
    <t>ME</t>
  </si>
  <si>
    <t>Area Sales Manager</t>
  </si>
  <si>
    <t>Villanueva, Noah</t>
  </si>
  <si>
    <t>Vega, Vincent</t>
  </si>
  <si>
    <t>maternity leave - did not return</t>
  </si>
  <si>
    <t xml:space="preserve">Veera, Abdellah </t>
  </si>
  <si>
    <t>Two or more races</t>
  </si>
  <si>
    <t>AZ</t>
  </si>
  <si>
    <t>Valentin,Jackie</t>
  </si>
  <si>
    <t>Network Engineer</t>
  </si>
  <si>
    <t>Turpin, Jumil</t>
  </si>
  <si>
    <t>Trzeciak, Cybil</t>
  </si>
  <si>
    <t>Alex Sweetwater</t>
  </si>
  <si>
    <t>Software Engineering</t>
  </si>
  <si>
    <t>medical issues</t>
  </si>
  <si>
    <t>Non-Citizen</t>
  </si>
  <si>
    <t>Software Engineer</t>
  </si>
  <si>
    <t>True, Edward</t>
  </si>
  <si>
    <t xml:space="preserve">Tredinnick, Neville </t>
  </si>
  <si>
    <t>Trang, Mei</t>
  </si>
  <si>
    <t>Lynn Daneault</t>
  </si>
  <si>
    <t>Separated</t>
  </si>
  <si>
    <t>ND</t>
  </si>
  <si>
    <t>Torrence, Jack</t>
  </si>
  <si>
    <t>Tippett, Jeanette</t>
  </si>
  <si>
    <t>Other</t>
  </si>
  <si>
    <t>military</t>
  </si>
  <si>
    <t>Thibaud, Kenneth</t>
  </si>
  <si>
    <t>return to school</t>
  </si>
  <si>
    <t>Theamstern, Sophia</t>
  </si>
  <si>
    <t>OR</t>
  </si>
  <si>
    <t xml:space="preserve">Terry, Sharlene </t>
  </si>
  <si>
    <t xml:space="preserve">Tejeda, Lenora </t>
  </si>
  <si>
    <t xml:space="preserve">Tavares, Desiree  </t>
  </si>
  <si>
    <t>BI Developer</t>
  </si>
  <si>
    <t>Tannen, Biff</t>
  </si>
  <si>
    <t>Szabo, Andrew</t>
  </si>
  <si>
    <t>Sutwell, Barbara</t>
  </si>
  <si>
    <t>Sullivan, Timothy</t>
  </si>
  <si>
    <t xml:space="preserve">Sullivan, Kissy </t>
  </si>
  <si>
    <t>MT</t>
  </si>
  <si>
    <t>Strong, Caitrin</t>
  </si>
  <si>
    <t>Stoica, Rick</t>
  </si>
  <si>
    <t>Brandon R. LeBlanc</t>
  </si>
  <si>
    <t>Admin Offices</t>
  </si>
  <si>
    <t>Accountant I</t>
  </si>
  <si>
    <t xml:space="preserve">Steans, Tyrone  </t>
  </si>
  <si>
    <t>NV</t>
  </si>
  <si>
    <t>Stansfield, Norman</t>
  </si>
  <si>
    <t>Stanford,Barbara  M</t>
  </si>
  <si>
    <t>Squatrito, Kristen</t>
  </si>
  <si>
    <t>Spirea, Kelley</t>
  </si>
  <si>
    <t xml:space="preserve">Sparks, Taylor  </t>
  </si>
  <si>
    <t>Soze, Keyser</t>
  </si>
  <si>
    <t>Eric Dougall</t>
  </si>
  <si>
    <t>IT Support</t>
  </si>
  <si>
    <t xml:space="preserve">Soto, Julia </t>
  </si>
  <si>
    <t>Smith, Sade</t>
  </si>
  <si>
    <t>Administrative Assistant</t>
  </si>
  <si>
    <t>Smith, Leigh Ann</t>
  </si>
  <si>
    <t>Debra Houlihan</t>
  </si>
  <si>
    <t>Sales Manager</t>
  </si>
  <si>
    <t>Smith, John</t>
  </si>
  <si>
    <t>Smith, Joe</t>
  </si>
  <si>
    <t>Sloan, Constance</t>
  </si>
  <si>
    <t xml:space="preserve">Singh, Nan </t>
  </si>
  <si>
    <t>Simard, Kramer</t>
  </si>
  <si>
    <t>Shields, Seffi</t>
  </si>
  <si>
    <t xml:space="preserve">Shepard, Anita </t>
  </si>
  <si>
    <t>Sewkumar, Nori</t>
  </si>
  <si>
    <t>Sander, Kamrin</t>
  </si>
  <si>
    <t xml:space="preserve">Data Analyst </t>
  </si>
  <si>
    <t>Salter, Jason</t>
  </si>
  <si>
    <t>Sahoo, Adil</t>
  </si>
  <si>
    <t xml:space="preserve">Sadki, Nore  </t>
  </si>
  <si>
    <t>Saar-Beckles, Melinda</t>
  </si>
  <si>
    <t>Saada, Adell</t>
  </si>
  <si>
    <t>Jennifer Zamora</t>
  </si>
  <si>
    <t>IT Manager - DB</t>
  </si>
  <si>
    <t>Ruiz, Ricardo</t>
  </si>
  <si>
    <t>Roup,Simon</t>
  </si>
  <si>
    <t>Rossetti, Bruno</t>
  </si>
  <si>
    <t xml:space="preserve">Rose, Ashley  </t>
  </si>
  <si>
    <t>Data Architect</t>
  </si>
  <si>
    <t>Roper, Katie</t>
  </si>
  <si>
    <t>Principal Data Architect</t>
  </si>
  <si>
    <t>Roehrich, Bianca</t>
  </si>
  <si>
    <t xml:space="preserve">Roby, Lori </t>
  </si>
  <si>
    <t>Robinson, Elias</t>
  </si>
  <si>
    <t>attendance</t>
  </si>
  <si>
    <t>Robinson, Cherly</t>
  </si>
  <si>
    <t xml:space="preserve">Robinson, Alain  </t>
  </si>
  <si>
    <t>Robertson, Peter</t>
  </si>
  <si>
    <t>Roberson, May</t>
  </si>
  <si>
    <t xml:space="preserve">Rivera, Haley  </t>
  </si>
  <si>
    <t>Rhoads, Thomas</t>
  </si>
  <si>
    <t>ID</t>
  </si>
  <si>
    <t>Ren, Kylo</t>
  </si>
  <si>
    <t>more money</t>
  </si>
  <si>
    <t>Rarrick, Quinn</t>
  </si>
  <si>
    <t>Rachael, Maggie</t>
  </si>
  <si>
    <t>Quinn, Sean</t>
  </si>
  <si>
    <t>Purinton, Janine</t>
  </si>
  <si>
    <t xml:space="preserve">Punjabhi, Louis  </t>
  </si>
  <si>
    <t>Power, Morissa</t>
  </si>
  <si>
    <t>KY</t>
  </si>
  <si>
    <t>Potts, Xana</t>
  </si>
  <si>
    <t xml:space="preserve">Pitt, Brad </t>
  </si>
  <si>
    <t>Pham, Hong</t>
  </si>
  <si>
    <t>Petrowsky, Thelma</t>
  </si>
  <si>
    <t xml:space="preserve">Petingill, Shana  </t>
  </si>
  <si>
    <t xml:space="preserve">Peterson, Ebonee  </t>
  </si>
  <si>
    <t>Peters, Lauren</t>
  </si>
  <si>
    <t>Perry, Shakira</t>
  </si>
  <si>
    <t>Pelletier, Ermine</t>
  </si>
  <si>
    <t>Smith, Martin</t>
  </si>
  <si>
    <t>performance</t>
  </si>
  <si>
    <t>Pearson, Randall</t>
  </si>
  <si>
    <t>Patronick, Lucas</t>
  </si>
  <si>
    <t>Panjwani, Nina</t>
  </si>
  <si>
    <t>NC</t>
  </si>
  <si>
    <t>Ozark, Travis</t>
  </si>
  <si>
    <t>Owad, Clinton</t>
  </si>
  <si>
    <t>Osturnka, Adeel</t>
  </si>
  <si>
    <t>FL</t>
  </si>
  <si>
    <t>Onque, Jasmine</t>
  </si>
  <si>
    <t xml:space="preserve">Oliver, Brooke </t>
  </si>
  <si>
    <t>O'hare, Lynn</t>
  </si>
  <si>
    <t>Nowlan, Kristie</t>
  </si>
  <si>
    <t>Nguyen, Lei-Ming</t>
  </si>
  <si>
    <t>GA</t>
  </si>
  <si>
    <t>Nguyen, Dheepa</t>
  </si>
  <si>
    <t xml:space="preserve">Ngodup, Shari </t>
  </si>
  <si>
    <t xml:space="preserve">Newman, Richard </t>
  </si>
  <si>
    <t>Ndzi, Horia</t>
  </si>
  <si>
    <t>Ndzi, Colombui</t>
  </si>
  <si>
    <t>Navathe, Kurt</t>
  </si>
  <si>
    <t>Myers, Michael</t>
  </si>
  <si>
    <t xml:space="preserve">Moumanil, Maliki </t>
  </si>
  <si>
    <t>Motlagh,  Dawn</t>
  </si>
  <si>
    <t>Morway, Tanya</t>
  </si>
  <si>
    <t>Moran, Patrick</t>
  </si>
  <si>
    <t>Monterro, Luisa</t>
  </si>
  <si>
    <t>IT Manager - Infra</t>
  </si>
  <si>
    <t>Monroe, Peter</t>
  </si>
  <si>
    <t>Monkfish, Erasumus</t>
  </si>
  <si>
    <t>Miller, Ned</t>
  </si>
  <si>
    <t>Hispanic</t>
  </si>
  <si>
    <t>yes</t>
  </si>
  <si>
    <t>Miller, Brannon</t>
  </si>
  <si>
    <t>Medeiros, Jennifer</t>
  </si>
  <si>
    <t>Meads, Elizabeth</t>
  </si>
  <si>
    <t>TX</t>
  </si>
  <si>
    <t>McKinzie, Jac</t>
  </si>
  <si>
    <t>Mckenna, Sandy</t>
  </si>
  <si>
    <t>Carthy, B'rigit</t>
  </si>
  <si>
    <t>Maurice, Shana</t>
  </si>
  <si>
    <t>Martin, Sandra</t>
  </si>
  <si>
    <t>Mangal, Debbie</t>
  </si>
  <si>
    <t>Mancuso, Karen</t>
  </si>
  <si>
    <t>Manchester, Robyn</t>
  </si>
  <si>
    <t xml:space="preserve">Mahoney, Lauren  </t>
  </si>
  <si>
    <t>MacLennan, Samuel</t>
  </si>
  <si>
    <t>Lynch, Lindsay</t>
  </si>
  <si>
    <t>Lydon, Allison</t>
  </si>
  <si>
    <t>Lunquist, Lisa</t>
  </si>
  <si>
    <t>Lundy, Susan</t>
  </si>
  <si>
    <t>CT</t>
  </si>
  <si>
    <t xml:space="preserve">Lindsay, Leonara </t>
  </si>
  <si>
    <t>Linden, Mathew</t>
  </si>
  <si>
    <t xml:space="preserve">Linares, Marilyn </t>
  </si>
  <si>
    <t>Liebig, Ketsia</t>
  </si>
  <si>
    <t>UT</t>
  </si>
  <si>
    <t>Leruth, Giovanni</t>
  </si>
  <si>
    <t>Lecter, Hannibal</t>
  </si>
  <si>
    <t>Shared Services Manager</t>
  </si>
  <si>
    <t>LeBlanc, Brandon  R</t>
  </si>
  <si>
    <t>Leach, Dallas</t>
  </si>
  <si>
    <t>Le, Binh</t>
  </si>
  <si>
    <t>Latif, Mohammed</t>
  </si>
  <si>
    <t xml:space="preserve">LaRotonda, William  </t>
  </si>
  <si>
    <t>Langton, Enrico</t>
  </si>
  <si>
    <t>Langford, Lindsey</t>
  </si>
  <si>
    <t>Landa, Hans</t>
  </si>
  <si>
    <t>Lajiri,  Jyoti</t>
  </si>
  <si>
    <t>NY</t>
  </si>
  <si>
    <t>Kreuger, Freddy</t>
  </si>
  <si>
    <t>Kretschmer, John</t>
  </si>
  <si>
    <t>Knapp, Bradley  J</t>
  </si>
  <si>
    <t xml:space="preserve">Kirill, Alexandra  </t>
  </si>
  <si>
    <t xml:space="preserve">Kinsella, Kathleen  </t>
  </si>
  <si>
    <t>Board of Directors</t>
  </si>
  <si>
    <t>Executive Office</t>
  </si>
  <si>
    <t>President &amp; CEO</t>
  </si>
  <si>
    <t>King, Janet</t>
  </si>
  <si>
    <t>CO</t>
  </si>
  <si>
    <t>Khemmich, Bartholemew</t>
  </si>
  <si>
    <t xml:space="preserve">Keatts, Kramer </t>
  </si>
  <si>
    <t>PA</t>
  </si>
  <si>
    <t>Kampew, Donysha</t>
  </si>
  <si>
    <t xml:space="preserve">Jung, Judy  </t>
  </si>
  <si>
    <t>Johnston, Yen</t>
  </si>
  <si>
    <t xml:space="preserve">Johnson, Noelle </t>
  </si>
  <si>
    <t>Johnson, George</t>
  </si>
  <si>
    <t xml:space="preserve">Jhaveri, Sneha  </t>
  </si>
  <si>
    <t>American Indian or Alaska Native</t>
  </si>
  <si>
    <t>Jeannite, Tayana</t>
  </si>
  <si>
    <t xml:space="preserve">Jacobi, Hannah  </t>
  </si>
  <si>
    <t>Jackson, Maryellen</t>
  </si>
  <si>
    <t xml:space="preserve">Ivey, Rose </t>
  </si>
  <si>
    <t>Immediato, Walter</t>
  </si>
  <si>
    <t>Huynh, Ming</t>
  </si>
  <si>
    <t>Hutter, Rosalie</t>
  </si>
  <si>
    <t>Hunts, Julissa</t>
  </si>
  <si>
    <t>Hudson, Jane</t>
  </si>
  <si>
    <t>Howard, Estelle</t>
  </si>
  <si>
    <t>RI</t>
  </si>
  <si>
    <t>Director of Sales</t>
  </si>
  <si>
    <t>Houlihan, Debra</t>
  </si>
  <si>
    <t>Horton, Jayne</t>
  </si>
  <si>
    <t>Homberger, Adrienne  J</t>
  </si>
  <si>
    <t>NH</t>
  </si>
  <si>
    <t>Hitchcock, Alfred</t>
  </si>
  <si>
    <t>Hendrickson, Trina</t>
  </si>
  <si>
    <t>Heitzman, Anthony</t>
  </si>
  <si>
    <t>Harrison, Kara</t>
  </si>
  <si>
    <t xml:space="preserve">Harrington, Christie </t>
  </si>
  <si>
    <t>Hankard, Earnest</t>
  </si>
  <si>
    <t>Handschiegl, Joanne</t>
  </si>
  <si>
    <t>TN</t>
  </si>
  <si>
    <t>Guilianno, Mike</t>
  </si>
  <si>
    <t>Gruber, Hans</t>
  </si>
  <si>
    <t>Gross, Paula</t>
  </si>
  <si>
    <t xml:space="preserve">Gray, Elijiah  </t>
  </si>
  <si>
    <t>Goyal, Roxana</t>
  </si>
  <si>
    <t xml:space="preserve">Gosciminski, Phylicia  </t>
  </si>
  <si>
    <t>Gordon, David</t>
  </si>
  <si>
    <t>Good, Susan</t>
  </si>
  <si>
    <t>Gonzalez, Maria</t>
  </si>
  <si>
    <t>Gonzalez, Juan</t>
  </si>
  <si>
    <t>Gonzalez, Cayo</t>
  </si>
  <si>
    <t xml:space="preserve">Gold, Shenice  </t>
  </si>
  <si>
    <t>Goeth, Amon</t>
  </si>
  <si>
    <t>Goble, Taisha</t>
  </si>
  <si>
    <t>IN</t>
  </si>
  <si>
    <t>Givens, Myriam</t>
  </si>
  <si>
    <t>Girifalco, Evelyn</t>
  </si>
  <si>
    <t>Gilles, Alex</t>
  </si>
  <si>
    <t>OH</t>
  </si>
  <si>
    <t xml:space="preserve">Gill, Whitney  </t>
  </si>
  <si>
    <t>Gerke, Melisa</t>
  </si>
  <si>
    <t>Gentry, Mildred</t>
  </si>
  <si>
    <t>Gaul, Barbara</t>
  </si>
  <si>
    <t>Garcia, Raul</t>
  </si>
  <si>
    <t>Galia, Lisa</t>
  </si>
  <si>
    <t xml:space="preserve">Fraval, Maruk </t>
  </si>
  <si>
    <t>no</t>
  </si>
  <si>
    <t>Sr. Accountant</t>
  </si>
  <si>
    <t>Foster-Baker, Amy</t>
  </si>
  <si>
    <t>IT Director</t>
  </si>
  <si>
    <t>Foss, Jason</t>
  </si>
  <si>
    <t>Fatal attraction</t>
  </si>
  <si>
    <t>Forrest, Alex</t>
  </si>
  <si>
    <t>Foreman, Tanya</t>
  </si>
  <si>
    <t>Fitzpatrick, Michael  J</t>
  </si>
  <si>
    <t>Fidelia,  Libby</t>
  </si>
  <si>
    <t>Fett, Boba</t>
  </si>
  <si>
    <t xml:space="preserve">Fernandes, Nilson  </t>
  </si>
  <si>
    <t>Ferguson, Susan</t>
  </si>
  <si>
    <t>Fancett, Nicole</t>
  </si>
  <si>
    <t xml:space="preserve">Faller, Megan </t>
  </si>
  <si>
    <t>Exantus, Susan</t>
  </si>
  <si>
    <t>Evensen, April</t>
  </si>
  <si>
    <t>Estremera, Miguel</t>
  </si>
  <si>
    <t>Erilus, Angela</t>
  </si>
  <si>
    <t>England, Rex</t>
  </si>
  <si>
    <t>Engdahl, Jean</t>
  </si>
  <si>
    <t>Eaton, Marianne</t>
  </si>
  <si>
    <t>Dunne, Amy</t>
  </si>
  <si>
    <t xml:space="preserve">Dunn, Amy  </t>
  </si>
  <si>
    <t>CA</t>
  </si>
  <si>
    <t>Driver, Elle</t>
  </si>
  <si>
    <t>IT Manager - Support</t>
  </si>
  <si>
    <t>Dougall, Eric</t>
  </si>
  <si>
    <t>Dolan, Linda</t>
  </si>
  <si>
    <t>Dobrin, Denisa  S</t>
  </si>
  <si>
    <t xml:space="preserve">DiNocco, Lily </t>
  </si>
  <si>
    <t>WA</t>
  </si>
  <si>
    <t xml:space="preserve">Dietrich, Jenna  </t>
  </si>
  <si>
    <t xml:space="preserve">Dickinson, Geoff </t>
  </si>
  <si>
    <t>DeVito, Tommy</t>
  </si>
  <si>
    <t xml:space="preserve">Desimone, Carl </t>
  </si>
  <si>
    <t>Demita, Carla</t>
  </si>
  <si>
    <t>AL</t>
  </si>
  <si>
    <t>Delarge, Alex</t>
  </si>
  <si>
    <t>Del Bosque, Keyla</t>
  </si>
  <si>
    <t>DeGweck,  James</t>
  </si>
  <si>
    <t>Dee, Randy</t>
  </si>
  <si>
    <t>Davis, Daniel</t>
  </si>
  <si>
    <t xml:space="preserve">Darson, Jene'ya </t>
  </si>
  <si>
    <t xml:space="preserve">Daniele, Ann  </t>
  </si>
  <si>
    <t>VT</t>
  </si>
  <si>
    <t>Daneault, Lynn</t>
  </si>
  <si>
    <t>Cross, Noah</t>
  </si>
  <si>
    <t>Crimmings,   Jean</t>
  </si>
  <si>
    <t>Costello, Frank</t>
  </si>
  <si>
    <t xml:space="preserve">Cornett, Lisa </t>
  </si>
  <si>
    <t>Director of Operations</t>
  </si>
  <si>
    <t>Corleone, Vito</t>
  </si>
  <si>
    <t>Corleone, Michael</t>
  </si>
  <si>
    <t>Cole, Spencer</t>
  </si>
  <si>
    <t>Cockel, James</t>
  </si>
  <si>
    <t>Clukey, Elijian</t>
  </si>
  <si>
    <t>Close, Phil</t>
  </si>
  <si>
    <t>Cloninger, Jennifer</t>
  </si>
  <si>
    <t>Clayton, Rick</t>
  </si>
  <si>
    <t xml:space="preserve">Cierpiszewski, Caroline  </t>
  </si>
  <si>
    <t>Chivukula, Enola</t>
  </si>
  <si>
    <t>Chigurh, Anton</t>
  </si>
  <si>
    <t>Chang, Donovan  E</t>
  </si>
  <si>
    <t>Chan, Lin</t>
  </si>
  <si>
    <t>BI Director</t>
  </si>
  <si>
    <t>Champaigne, Brian</t>
  </si>
  <si>
    <t xml:space="preserve">Chace, Beatrice </t>
  </si>
  <si>
    <t xml:space="preserve">Carter, Michelle </t>
  </si>
  <si>
    <t>Sr. DBA</t>
  </si>
  <si>
    <t>Carr, Claudia  N</t>
  </si>
  <si>
    <t xml:space="preserve">Carey, Michael  </t>
  </si>
  <si>
    <t>Carabbio, Judith</t>
  </si>
  <si>
    <t>Candie, Calvin</t>
  </si>
  <si>
    <t>Software Engineering Manager</t>
  </si>
  <si>
    <t xml:space="preserve">Cady, Max </t>
  </si>
  <si>
    <t xml:space="preserve">Burkett, Benjamin </t>
  </si>
  <si>
    <t>Burke, Joelle</t>
  </si>
  <si>
    <t>VA</t>
  </si>
  <si>
    <t>Bunbury, Jessica</t>
  </si>
  <si>
    <t xml:space="preserve">Bugali, Josephine </t>
  </si>
  <si>
    <t xml:space="preserve">Buccheri, Joseph  </t>
  </si>
  <si>
    <t>Brown, Mia</t>
  </si>
  <si>
    <t>Brill, Donna</t>
  </si>
  <si>
    <t>Bozzi, Charles</t>
  </si>
  <si>
    <t>Boutwell, Bonalyn</t>
  </si>
  <si>
    <t>Learned that he is a gangster</t>
  </si>
  <si>
    <t>Enterprise Architect</t>
  </si>
  <si>
    <t>Booth, Frank</t>
  </si>
  <si>
    <t>Bondwell, Betsy</t>
  </si>
  <si>
    <t>Blount, Dianna</t>
  </si>
  <si>
    <t>Billis, Helen</t>
  </si>
  <si>
    <t>Biden, Lowan  M</t>
  </si>
  <si>
    <t>Bernstein, Sean</t>
  </si>
  <si>
    <t>Becker, Scott</t>
  </si>
  <si>
    <t>Becker, Renee</t>
  </si>
  <si>
    <t xml:space="preserve">Beatrice, Courtney </t>
  </si>
  <si>
    <t xml:space="preserve">Beak, Kimberly  </t>
  </si>
  <si>
    <t>Bates, Norman</t>
  </si>
  <si>
    <t>On-line Web application</t>
  </si>
  <si>
    <t>Barton, Nader</t>
  </si>
  <si>
    <t>Barone, Francesco  A</t>
  </si>
  <si>
    <t>Barbossa, Hector</t>
  </si>
  <si>
    <t>Barbara, Thomas</t>
  </si>
  <si>
    <t xml:space="preserve">Baczenski, Rachael  </t>
  </si>
  <si>
    <t xml:space="preserve">Bacong, Alejandro </t>
  </si>
  <si>
    <t>Bachiochi, Linda</t>
  </si>
  <si>
    <t>Athwal, Sam</t>
  </si>
  <si>
    <t>Andreola, Colby</t>
  </si>
  <si>
    <t xml:space="preserve">Anderson, Linda  </t>
  </si>
  <si>
    <t xml:space="preserve">Anderson, Carol </t>
  </si>
  <si>
    <t>Alagbe,Trina</t>
  </si>
  <si>
    <t>Akinkuolie, Sarah</t>
  </si>
  <si>
    <t xml:space="preserve">Ait Sidi, Karthikeyan   </t>
  </si>
  <si>
    <t>Adinolfi, Wilson  K</t>
  </si>
  <si>
    <t>Absences</t>
  </si>
  <si>
    <t>DaysLateLast30</t>
  </si>
  <si>
    <t>LastPerformanceReview_Date</t>
  </si>
  <si>
    <t>SpecialProjectsCount</t>
  </si>
  <si>
    <t>EmpSatisfaction</t>
  </si>
  <si>
    <t>EngagementSurvey</t>
  </si>
  <si>
    <t>PerformanceScore</t>
  </si>
  <si>
    <t>RecruitmentSource</t>
  </si>
  <si>
    <t>ManagerID</t>
  </si>
  <si>
    <t>ManagerName</t>
  </si>
  <si>
    <t>Department</t>
  </si>
  <si>
    <t>EmploymentStatus</t>
  </si>
  <si>
    <t>TermReason</t>
  </si>
  <si>
    <t>DateofTermination</t>
  </si>
  <si>
    <t>DateofHire</t>
  </si>
  <si>
    <t>RaceDesc</t>
  </si>
  <si>
    <t>HispanicLatino</t>
  </si>
  <si>
    <t>CitizenDesc</t>
  </si>
  <si>
    <t>MaritalDesc</t>
  </si>
  <si>
    <t>Sex</t>
  </si>
  <si>
    <t>DOB</t>
  </si>
  <si>
    <t>Zip</t>
  </si>
  <si>
    <t>State</t>
  </si>
  <si>
    <t>Position</t>
  </si>
  <si>
    <t>PositionID</t>
  </si>
  <si>
    <t>Termd</t>
  </si>
  <si>
    <t>Salary</t>
  </si>
  <si>
    <t>FromDiversityJobFairID</t>
  </si>
  <si>
    <t>PerfScoreID</t>
  </si>
  <si>
    <t>DeptID</t>
  </si>
  <si>
    <t>EmpStatusID</t>
  </si>
  <si>
    <t>GenderID</t>
  </si>
  <si>
    <t>MaritalStatusID</t>
  </si>
  <si>
    <t>MarriedID</t>
  </si>
  <si>
    <t>EmpID</t>
  </si>
  <si>
    <t>Employee_Name</t>
  </si>
  <si>
    <t>Data Dictionary</t>
  </si>
  <si>
    <t>Feature</t>
  </si>
  <si>
    <t>Description</t>
  </si>
  <si>
    <t>DataType</t>
  </si>
  <si>
    <t>Employee Name</t>
  </si>
  <si>
    <t>LastPerformanceReviewDate</t>
  </si>
  <si>
    <t>Employee’s full name</t>
  </si>
  <si>
    <t>Employee ID is unique to each employee</t>
  </si>
  <si>
    <t>Is the person married (1 or 0 for yes or no)</t>
  </si>
  <si>
    <t>Marital status code that matches the text field MaritalDesc</t>
  </si>
  <si>
    <t>Employment status code that matches text field EmploymentStatus</t>
  </si>
  <si>
    <t>Department ID code that matches the department the employee works in</t>
  </si>
  <si>
    <t>Performance Score code that matches the employee’s most recent performance score</t>
  </si>
  <si>
    <t>Was the employee sourced from the Diversity job fair? 1 or 0 for yes or no</t>
  </si>
  <si>
    <t>The person’s yearly salary. $ U.S. Dollars</t>
  </si>
  <si>
    <t>Has this employee been terminated - 1 or 0</t>
  </si>
  <si>
    <t>An integer indicating the person’s position</t>
  </si>
  <si>
    <t>The text name/title of the position the person has</t>
  </si>
  <si>
    <t>The state that the person lives in</t>
  </si>
  <si>
    <t>The zip code for the employee</t>
  </si>
  <si>
    <t>Date of Birth for the employee</t>
  </si>
  <si>
    <t>Sex - M or F</t>
  </si>
  <si>
    <t>The marital status of the person (divorced, single, widowed, separated, etc)</t>
  </si>
  <si>
    <t>Label for whether the person is a Citizen or Eligible NonCitizen</t>
  </si>
  <si>
    <t>Yes or No field for whether the employee is Hispanic/Latino</t>
  </si>
  <si>
    <t>Description/text of the race the person identifies with</t>
  </si>
  <si>
    <t>Date the person was hired</t>
  </si>
  <si>
    <t>Date the person was terminated, only populated if, in fact, Termd = 1</t>
  </si>
  <si>
    <t>A text reason / description for why the person was terminated</t>
  </si>
  <si>
    <t>A description/category of the person’s employment status. Anyone currently working full time = Active</t>
  </si>
  <si>
    <t>Name of the department that the person works in</t>
  </si>
  <si>
    <t>The name of the person’s immediate manager</t>
  </si>
  <si>
    <t>A unique identifier for each manager.</t>
  </si>
  <si>
    <t>The name of the recruitment source where the employee was recruited from</t>
  </si>
  <si>
    <t>Performance Score text/category (Fully Meets, Partially Meets, PIP, Exceeds)</t>
  </si>
  <si>
    <t>Results from the last engagement survey, managed by our external partner</t>
  </si>
  <si>
    <t>A basic satisfaction score between 1 and 5, as reported on a recent employee satisfaction survey</t>
  </si>
  <si>
    <t>The most recent date of the person’s last performance review.</t>
  </si>
  <si>
    <t>The number of times that the employee was late to work during the last 30 days</t>
  </si>
  <si>
    <t>The number of special projects that the employee worked on during the last 6 months</t>
  </si>
  <si>
    <t>The number of times the employee was absent from work.</t>
  </si>
  <si>
    <t>Text</t>
  </si>
  <si>
    <t>Binary</t>
  </si>
  <si>
    <t>Integer</t>
  </si>
  <si>
    <t>Float</t>
  </si>
  <si>
    <t>Date</t>
  </si>
  <si>
    <t>https://rpubs.com/rhuebner/hrd_cb_v14</t>
  </si>
  <si>
    <t>Row Labels</t>
  </si>
  <si>
    <t>Grand Total</t>
  </si>
  <si>
    <t>Count of EmpID</t>
  </si>
  <si>
    <t>Sum of Termd</t>
  </si>
  <si>
    <t>Attr.Total</t>
  </si>
  <si>
    <t>Attrition Analysis -- Who is Leaving and Why?</t>
  </si>
  <si>
    <t>Attrition by Department</t>
  </si>
  <si>
    <t>Total Emp</t>
  </si>
  <si>
    <t>Attrition Rate</t>
  </si>
  <si>
    <t>Why Employees Leave</t>
  </si>
  <si>
    <t>Reason</t>
  </si>
  <si>
    <t>Count</t>
  </si>
  <si>
    <t>% Leave</t>
  </si>
  <si>
    <t>Attrition by Manager (Top 8)</t>
  </si>
  <si>
    <t>Manager</t>
  </si>
  <si>
    <t>Team Size</t>
  </si>
  <si>
    <t>Total</t>
  </si>
  <si>
    <t>Team Termd</t>
  </si>
  <si>
    <t xml:space="preserve">   Production Department</t>
  </si>
  <si>
    <t xml:space="preserve">   High-Risk Managers</t>
  </si>
  <si>
    <t xml:space="preserve">   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</si>
</sst>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3" tint="0.249977111117893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8"/>
      <color theme="9" tint="-0.499984740745262"/>
      <name val="Aptos Narrow"/>
      <family val="2"/>
      <scheme val="minor"/>
    </font>
    <font>
      <b/>
      <sz val="18"/>
      <color rgb="FFA80000"/>
      <name val="Aptos Narrow"/>
      <family val="2"/>
      <scheme val="minor"/>
    </font>
    <font>
      <b/>
      <sz val="18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1746"/>
        <bgColor indexed="64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18" fillId="0" borderId="0" xfId="0" applyFont="1"/>
    <xf numFmtId="0" fontId="21" fillId="33" borderId="0" xfId="0" applyFont="1" applyFill="1"/>
    <xf numFmtId="0" fontId="20" fillId="33" borderId="0" xfId="0" applyFont="1" applyFill="1"/>
    <xf numFmtId="0" fontId="22" fillId="33" borderId="0" xfId="43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Font="1" applyFill="1" applyBorder="1"/>
    <xf numFmtId="168" fontId="0" fillId="0" borderId="0" xfId="1" applyNumberFormat="1" applyFont="1"/>
    <xf numFmtId="168" fontId="18" fillId="0" borderId="0" xfId="1" applyNumberFormat="1" applyFont="1"/>
    <xf numFmtId="0" fontId="18" fillId="35" borderId="0" xfId="0" applyFont="1" applyFill="1"/>
    <xf numFmtId="168" fontId="18" fillId="35" borderId="0" xfId="1" applyNumberFormat="1" applyFont="1" applyFill="1"/>
    <xf numFmtId="0" fontId="24" fillId="36" borderId="0" xfId="0" applyFont="1" applyFill="1" applyAlignment="1">
      <alignment horizontal="left" vertical="center"/>
    </xf>
    <xf numFmtId="0" fontId="23" fillId="37" borderId="0" xfId="0" applyFont="1" applyFill="1" applyBorder="1" applyAlignment="1">
      <alignment horizontal="left" vertical="center"/>
    </xf>
    <xf numFmtId="0" fontId="18" fillId="38" borderId="0" xfId="0" applyFont="1" applyFill="1"/>
    <xf numFmtId="0" fontId="23" fillId="37" borderId="12" xfId="0" applyFont="1" applyFill="1" applyBorder="1"/>
    <xf numFmtId="0" fontId="0" fillId="39" borderId="0" xfId="0" applyFill="1"/>
    <xf numFmtId="0" fontId="18" fillId="39" borderId="0" xfId="0" applyFont="1" applyFill="1"/>
    <xf numFmtId="0" fontId="16" fillId="34" borderId="11" xfId="0" applyNumberFormat="1" applyFont="1" applyFill="1" applyBorder="1"/>
    <xf numFmtId="0" fontId="26" fillId="40" borderId="0" xfId="0" applyFont="1" applyFill="1" applyAlignment="1">
      <alignment horizontal="left" vertical="center"/>
    </xf>
    <xf numFmtId="0" fontId="0" fillId="41" borderId="0" xfId="0" applyFill="1"/>
    <xf numFmtId="0" fontId="27" fillId="41" borderId="0" xfId="0" applyFont="1" applyFill="1" applyAlignment="1">
      <alignment horizontal="center"/>
    </xf>
    <xf numFmtId="0" fontId="28" fillId="41" borderId="0" xfId="0" applyFont="1" applyFill="1" applyAlignment="1">
      <alignment horizontal="center"/>
    </xf>
    <xf numFmtId="0" fontId="29" fillId="41" borderId="0" xfId="0" applyFont="1" applyFill="1" applyAlignment="1">
      <alignment horizontal="center"/>
    </xf>
    <xf numFmtId="0" fontId="29" fillId="41" borderId="0" xfId="0" applyFont="1" applyFill="1" applyAlignment="1"/>
    <xf numFmtId="0" fontId="28" fillId="41" borderId="0" xfId="0" applyFont="1" applyFill="1" applyAlignment="1"/>
    <xf numFmtId="0" fontId="30" fillId="41" borderId="0" xfId="0" applyFont="1" applyFill="1" applyAlignment="1">
      <alignment horizontal="center"/>
    </xf>
    <xf numFmtId="168" fontId="31" fillId="41" borderId="0" xfId="1" applyNumberFormat="1" applyFont="1" applyFill="1" applyAlignment="1">
      <alignment horizontal="center"/>
    </xf>
    <xf numFmtId="0" fontId="25" fillId="38" borderId="0" xfId="0" applyFont="1" applyFill="1" applyAlignment="1">
      <alignment horizontal="left" vertical="center"/>
    </xf>
    <xf numFmtId="0" fontId="0" fillId="39" borderId="13" xfId="0" applyFill="1" applyBorder="1"/>
    <xf numFmtId="0" fontId="0" fillId="39" borderId="14" xfId="0" applyFill="1" applyBorder="1"/>
    <xf numFmtId="0" fontId="19" fillId="42" borderId="15" xfId="0" applyFont="1" applyFill="1" applyBorder="1" applyAlignment="1">
      <alignment horizontal="left"/>
    </xf>
    <xf numFmtId="0" fontId="19" fillId="42" borderId="14" xfId="0" applyFont="1" applyFill="1" applyBorder="1" applyAlignment="1">
      <alignment horizontal="left"/>
    </xf>
    <xf numFmtId="0" fontId="19" fillId="42" borderId="16" xfId="0" applyFont="1" applyFill="1" applyBorder="1" applyAlignment="1">
      <alignment horizontal="left"/>
    </xf>
    <xf numFmtId="0" fontId="0" fillId="39" borderId="17" xfId="0" applyFill="1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bgColor theme="3" tint="0.24997711111789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9F9F9"/>
      <color rgb="FFF0F0F0"/>
      <color rgb="FFA80000"/>
      <color rgb="FF001746"/>
      <color rgb="FFFFF5C5"/>
      <color rgb="FFFC8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Analysis'!$A$5:$A$10</c:f>
              <c:strCache>
                <c:ptCount val="6"/>
                <c:pt idx="0">
                  <c:v>Production       </c:v>
                </c:pt>
                <c:pt idx="1">
                  <c:v>Software Engineering</c:v>
                </c:pt>
                <c:pt idx="2">
                  <c:v>Admin Offices</c:v>
                </c:pt>
                <c:pt idx="3">
                  <c:v>IT/IS</c:v>
                </c:pt>
                <c:pt idx="4">
                  <c:v>Sales</c:v>
                </c:pt>
                <c:pt idx="5">
                  <c:v>Executive Office</c:v>
                </c:pt>
              </c:strCache>
            </c:strRef>
          </c:cat>
          <c:val>
            <c:numRef>
              <c:f>'Attrition Analysis'!$E$5:$E$10</c:f>
              <c:numCache>
                <c:formatCode>0.0%</c:formatCode>
                <c:ptCount val="6"/>
                <c:pt idx="0">
                  <c:v>0.39712918660287083</c:v>
                </c:pt>
                <c:pt idx="1">
                  <c:v>0.36363636363636365</c:v>
                </c:pt>
                <c:pt idx="2">
                  <c:v>0.22222222222222221</c:v>
                </c:pt>
                <c:pt idx="3">
                  <c:v>0.2</c:v>
                </c:pt>
                <c:pt idx="4">
                  <c:v>0.16129032258064516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5-4A98-B4A9-F6C906BD3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599743"/>
        <c:axId val="1043360895"/>
      </c:barChart>
      <c:catAx>
        <c:axId val="115059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43360895"/>
        <c:crosses val="autoZero"/>
        <c:auto val="1"/>
        <c:lblAlgn val="ctr"/>
        <c:lblOffset val="100"/>
        <c:noMultiLvlLbl val="0"/>
      </c:catAx>
      <c:valAx>
        <c:axId val="1043360895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059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Analysis'!$A$5:$A$10</c:f>
              <c:strCache>
                <c:ptCount val="6"/>
                <c:pt idx="0">
                  <c:v>Production       </c:v>
                </c:pt>
                <c:pt idx="1">
                  <c:v>Software Engineering</c:v>
                </c:pt>
                <c:pt idx="2">
                  <c:v>Admin Offices</c:v>
                </c:pt>
                <c:pt idx="3">
                  <c:v>IT/IS</c:v>
                </c:pt>
                <c:pt idx="4">
                  <c:v>Sales</c:v>
                </c:pt>
                <c:pt idx="5">
                  <c:v>Executive Office</c:v>
                </c:pt>
              </c:strCache>
            </c:strRef>
          </c:cat>
          <c:val>
            <c:numRef>
              <c:f>'Attrition Analysis'!$E$5:$E$10</c:f>
              <c:numCache>
                <c:formatCode>0.0%</c:formatCode>
                <c:ptCount val="6"/>
                <c:pt idx="0">
                  <c:v>0.39712918660287083</c:v>
                </c:pt>
                <c:pt idx="1">
                  <c:v>0.36363636363636365</c:v>
                </c:pt>
                <c:pt idx="2">
                  <c:v>0.22222222222222221</c:v>
                </c:pt>
                <c:pt idx="3">
                  <c:v>0.2</c:v>
                </c:pt>
                <c:pt idx="4">
                  <c:v>0.16129032258064516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3-4794-A67E-3C3810C0F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599743"/>
        <c:axId val="1043360895"/>
      </c:barChart>
      <c:catAx>
        <c:axId val="115059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43360895"/>
        <c:crosses val="autoZero"/>
        <c:auto val="1"/>
        <c:lblAlgn val="ctr"/>
        <c:lblOffset val="100"/>
        <c:noMultiLvlLbl val="0"/>
      </c:catAx>
      <c:valAx>
        <c:axId val="1043360895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059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Reasons Employees Leave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Analysis'!$I$4</c:f>
              <c:strCache>
                <c:ptCount val="1"/>
                <c:pt idx="0">
                  <c:v>% Leave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Analysis'!$G$5:$G$14</c:f>
              <c:strCache>
                <c:ptCount val="10"/>
                <c:pt idx="0">
                  <c:v>Another position</c:v>
                </c:pt>
                <c:pt idx="1">
                  <c:v>unhappy</c:v>
                </c:pt>
                <c:pt idx="2">
                  <c:v>more money</c:v>
                </c:pt>
                <c:pt idx="3">
                  <c:v>career change</c:v>
                </c:pt>
                <c:pt idx="4">
                  <c:v>hours</c:v>
                </c:pt>
                <c:pt idx="5">
                  <c:v>attendance</c:v>
                </c:pt>
                <c:pt idx="6">
                  <c:v>relocation out of area</c:v>
                </c:pt>
                <c:pt idx="7">
                  <c:v>return to school</c:v>
                </c:pt>
                <c:pt idx="8">
                  <c:v>retiring</c:v>
                </c:pt>
                <c:pt idx="9">
                  <c:v>performance</c:v>
                </c:pt>
              </c:strCache>
            </c:strRef>
          </c:cat>
          <c:val>
            <c:numRef>
              <c:f>'Attrition Analysis'!$I$5:$I$14</c:f>
              <c:numCache>
                <c:formatCode>0.0%</c:formatCode>
                <c:ptCount val="10"/>
                <c:pt idx="0">
                  <c:v>0.19230769230769232</c:v>
                </c:pt>
                <c:pt idx="1">
                  <c:v>0.13461538461538461</c:v>
                </c:pt>
                <c:pt idx="2">
                  <c:v>0.10576923076923077</c:v>
                </c:pt>
                <c:pt idx="3">
                  <c:v>8.6538461538461536E-2</c:v>
                </c:pt>
                <c:pt idx="4">
                  <c:v>7.6923076923076927E-2</c:v>
                </c:pt>
                <c:pt idx="5">
                  <c:v>6.7307692307692304E-2</c:v>
                </c:pt>
                <c:pt idx="6">
                  <c:v>4.807692307692308E-2</c:v>
                </c:pt>
                <c:pt idx="7">
                  <c:v>4.807692307692308E-2</c:v>
                </c:pt>
                <c:pt idx="8">
                  <c:v>3.8461538461538464E-2</c:v>
                </c:pt>
                <c:pt idx="9">
                  <c:v>3.8461538461538464E-2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D-4141-B069-BE0FA789D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90992"/>
        <c:axId val="637591472"/>
      </c:barChart>
      <c:catAx>
        <c:axId val="6375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37591472"/>
        <c:crosses val="autoZero"/>
        <c:auto val="1"/>
        <c:lblAlgn val="ctr"/>
        <c:lblOffset val="100"/>
        <c:noMultiLvlLbl val="0"/>
      </c:catAx>
      <c:valAx>
        <c:axId val="6375914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3759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8</xdr:row>
      <xdr:rowOff>142875</xdr:rowOff>
    </xdr:from>
    <xdr:to>
      <xdr:col>12</xdr:col>
      <xdr:colOff>114300</xdr:colOff>
      <xdr:row>28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3E275-D8D6-4ACA-80AF-67C39FADC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15</xdr:row>
      <xdr:rowOff>138111</xdr:rowOff>
    </xdr:from>
    <xdr:to>
      <xdr:col>6</xdr:col>
      <xdr:colOff>1438274</xdr:colOff>
      <xdr:row>35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89A77-1DDA-06FE-8E08-63348A41E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1728786</xdr:colOff>
      <xdr:row>15</xdr:row>
      <xdr:rowOff>80962</xdr:rowOff>
    </xdr:from>
    <xdr:to>
      <xdr:col>14</xdr:col>
      <xdr:colOff>76199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9F4F5F-2064-8D76-BFB1-ADD24822F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Fish" refreshedDate="46136.836408564814" createdVersion="8" refreshedVersion="8" minRefreshableVersion="3" recordCount="311" xr:uid="{756DCE67-243A-4D07-88EC-0C022787A2B5}">
  <cacheSource type="worksheet">
    <worksheetSource name="Table1"/>
  </cacheSource>
  <cacheFields count="36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MarriedID" numFmtId="0">
      <sharedItems containsSemiMixedTypes="0" containsString="0" containsNumber="1" containsInteger="1" minValue="0" maxValue="1"/>
    </cacheField>
    <cacheField name="MaritalStatusID" numFmtId="0">
      <sharedItems containsSemiMixedTypes="0" containsString="0" containsNumber="1" containsInteger="1" minValue="0" maxValue="4"/>
    </cacheField>
    <cacheField name="GenderID" numFmtId="0">
      <sharedItems containsSemiMixedTypes="0" containsString="0" containsNumber="1" containsInteger="1" minValue="0" maxValue="1"/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FromDiversityJobFairID" numFmtId="0">
      <sharedItems containsSemiMixedTypes="0" containsString="0" containsNumber="1" containsInteger="1" minValue="0" maxValue="1"/>
    </cacheField>
    <cacheField name="Salary" numFmtId="0">
      <sharedItems containsSemiMixedTypes="0" containsString="0" containsNumber="1" containsInteger="1" minValue="45046" maxValue="250000"/>
    </cacheField>
    <cacheField name="Termd" numFmtId="0">
      <sharedItems containsSemiMixedTypes="0" containsString="0" containsNumber="1" containsInteger="1" minValue="0" maxValue="1"/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/>
    </cacheField>
    <cacheField name="State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14">
      <sharedItems containsSemiMixedTypes="0" containsNonDate="0" containsDate="1" containsString="0" minDate="1951-01-02T00:00:00" maxDate="1992-08-18T00:00:00"/>
    </cacheField>
    <cacheField name="Sex" numFmtId="0">
      <sharedItems/>
    </cacheField>
    <cacheField name="MaritalDesc" numFmtId="0">
      <sharedItems/>
    </cacheField>
    <cacheField name="CitizenDesc" numFmtId="0">
      <sharedItems/>
    </cacheField>
    <cacheField name="HispanicLatino" numFmtId="0">
      <sharedItems/>
    </cacheField>
    <cacheField name="RaceDesc" numFmtId="0">
      <sharedItems/>
    </cacheField>
    <cacheField name="DateofHire" numFmtId="14">
      <sharedItems containsSemiMixedTypes="0" containsNonDate="0" containsDate="1" containsString="0" minDate="2006-01-09T00:00:00" maxDate="2018-07-10T00:00:00"/>
    </cacheField>
    <cacheField name="DateofTermination" numFmtId="0">
      <sharedItems containsNonDate="0" containsDate="1" containsString="0" containsBlank="1" minDate="2010-08-30T00:00:00" maxDate="2018-11-11T00:00:00"/>
    </cacheField>
    <cacheField name="TermReason" numFmtId="0">
      <sharedItems count="18"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/>
    </cacheField>
    <cacheField name="Department" numFmtId="0">
      <sharedItems count="6">
        <s v="Production       "/>
        <s v="IT/IS"/>
        <s v="Software Engineering"/>
        <s v="Admin Offices"/>
        <s v="Sales"/>
        <s v="Executive Office"/>
      </sharedItems>
    </cacheField>
    <cacheField name="ManagerName" numFmtId="0">
      <sharedItems count="21"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/>
    </cacheField>
    <cacheField name="PerformanceScore" numFmtId="0">
      <sharedItems/>
    </cacheField>
    <cacheField name="EngagementSurvey" numFmtId="0">
      <sharedItems containsSemiMixedTypes="0" containsString="0" containsNumber="1" minValue="1.1200000000000001" maxValue="5"/>
    </cacheField>
    <cacheField name="EmpSatisfaction" numFmtId="0">
      <sharedItems containsSemiMixedTypes="0" containsString="0" containsNumber="1" containsInteger="1" minValue="1" maxValue="5"/>
    </cacheField>
    <cacheField name="SpecialProjectsCount" numFmtId="0">
      <sharedItems containsSemiMixedTypes="0" containsString="0" containsNumber="1" containsInteger="1" minValue="0" maxValue="8"/>
    </cacheField>
    <cacheField name="LastPerformanceReview_Date" numFmtId="14">
      <sharedItems containsSemiMixedTypes="0" containsNonDate="0" containsDate="1" containsString="0" minDate="2010-07-14T00:00:00" maxDate="2019-03-01T00:00:00"/>
    </cacheField>
    <cacheField name="DaysLate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Adinolfi, Wilson  K"/>
    <n v="10026"/>
    <n v="0"/>
    <n v="0"/>
    <n v="1"/>
    <n v="1"/>
    <n v="5"/>
    <n v="4"/>
    <n v="0"/>
    <n v="62506"/>
    <n v="0"/>
    <n v="19"/>
    <s v="Production Technician I"/>
    <s v="MA"/>
    <n v="1960"/>
    <d v="1983-07-10T00:00:00"/>
    <s v="M "/>
    <s v="Single"/>
    <s v="US Citizen"/>
    <s v="No"/>
    <s v="White"/>
    <d v="2011-07-05T00:00:00"/>
    <m/>
    <x v="0"/>
    <s v="Active"/>
    <x v="0"/>
    <x v="0"/>
    <n v="22"/>
    <s v="LinkedIn"/>
    <s v="Exceeds"/>
    <n v="4.5999999999999996"/>
    <n v="5"/>
    <n v="0"/>
    <d v="2019-01-17T00:00:00"/>
    <n v="0"/>
    <n v="1"/>
  </r>
  <r>
    <s v="Ait Sidi, Karthikeyan   "/>
    <n v="10084"/>
    <n v="1"/>
    <n v="1"/>
    <n v="1"/>
    <n v="5"/>
    <n v="3"/>
    <n v="3"/>
    <n v="0"/>
    <n v="104437"/>
    <n v="1"/>
    <n v="27"/>
    <s v="Sr. DBA"/>
    <s v="MA"/>
    <n v="2148"/>
    <d v="1975-05-05T00:00:00"/>
    <s v="M "/>
    <s v="Married"/>
    <s v="US Citizen"/>
    <s v="No"/>
    <s v="White"/>
    <d v="2015-03-30T00:00:00"/>
    <d v="2016-06-16T00:00:00"/>
    <x v="1"/>
    <s v="Voluntarily Terminated"/>
    <x v="1"/>
    <x v="1"/>
    <n v="4"/>
    <s v="Indeed"/>
    <s v="Fully Meets"/>
    <n v="4.96"/>
    <n v="3"/>
    <n v="6"/>
    <d v="2016-02-24T00:00:00"/>
    <n v="0"/>
    <n v="17"/>
  </r>
  <r>
    <s v="Akinkuolie, Sarah"/>
    <n v="10196"/>
    <n v="1"/>
    <n v="1"/>
    <n v="0"/>
    <n v="5"/>
    <n v="5"/>
    <n v="3"/>
    <n v="0"/>
    <n v="64955"/>
    <n v="1"/>
    <n v="20"/>
    <s v="Production Technician II"/>
    <s v="MA"/>
    <n v="1810"/>
    <d v="1988-09-19T00:00:00"/>
    <s v="F"/>
    <s v="Married"/>
    <s v="US Citizen"/>
    <s v="No"/>
    <s v="White"/>
    <d v="2011-07-05T00:00:00"/>
    <d v="2012-09-24T00:00:00"/>
    <x v="2"/>
    <s v="Voluntarily Terminated"/>
    <x v="0"/>
    <x v="2"/>
    <n v="20"/>
    <s v="LinkedIn"/>
    <s v="Fully Meets"/>
    <n v="3.02"/>
    <n v="3"/>
    <n v="0"/>
    <d v="2012-05-15T00:00:00"/>
    <n v="0"/>
    <n v="3"/>
  </r>
  <r>
    <s v="Alagbe,Trina"/>
    <n v="10088"/>
    <n v="1"/>
    <n v="1"/>
    <n v="0"/>
    <n v="1"/>
    <n v="5"/>
    <n v="3"/>
    <n v="0"/>
    <n v="64991"/>
    <n v="0"/>
    <n v="19"/>
    <s v="Production Technician I"/>
    <s v="MA"/>
    <n v="1886"/>
    <d v="1988-09-27T00:00:00"/>
    <s v="F"/>
    <s v="Married"/>
    <s v="US Citizen"/>
    <s v="No"/>
    <s v="White"/>
    <d v="2008-01-07T00:00:00"/>
    <m/>
    <x v="0"/>
    <s v="Active"/>
    <x v="0"/>
    <x v="3"/>
    <n v="16"/>
    <s v="Indeed"/>
    <s v="Fully Meets"/>
    <n v="4.84"/>
    <n v="5"/>
    <n v="0"/>
    <d v="2019-01-03T00:00:00"/>
    <n v="0"/>
    <n v="15"/>
  </r>
  <r>
    <s v="Anderson, Carol "/>
    <n v="10069"/>
    <n v="0"/>
    <n v="2"/>
    <n v="0"/>
    <n v="5"/>
    <n v="5"/>
    <n v="3"/>
    <n v="0"/>
    <n v="50825"/>
    <n v="1"/>
    <n v="19"/>
    <s v="Production Technician I"/>
    <s v="MA"/>
    <n v="2169"/>
    <d v="1989-09-08T00:00:00"/>
    <s v="F"/>
    <s v="Divorced"/>
    <s v="US Citizen"/>
    <s v="No"/>
    <s v="White"/>
    <d v="2011-07-11T00:00:00"/>
    <d v="2016-09-06T00:00:00"/>
    <x v="3"/>
    <s v="Voluntarily Terminated"/>
    <x v="0"/>
    <x v="4"/>
    <n v="39"/>
    <s v="Google Search"/>
    <s v="Fully Meets"/>
    <n v="5"/>
    <n v="4"/>
    <n v="0"/>
    <d v="2016-02-01T00:00:00"/>
    <n v="0"/>
    <n v="2"/>
  </r>
  <r>
    <s v="Anderson, Linda  "/>
    <n v="10002"/>
    <n v="0"/>
    <n v="0"/>
    <n v="0"/>
    <n v="1"/>
    <n v="5"/>
    <n v="4"/>
    <n v="0"/>
    <n v="57568"/>
    <n v="0"/>
    <n v="19"/>
    <s v="Production Technician I"/>
    <s v="MA"/>
    <n v="1844"/>
    <d v="1977-05-22T00:00:00"/>
    <s v="F"/>
    <s v="Single"/>
    <s v="US Citizen"/>
    <s v="No"/>
    <s v="White"/>
    <d v="2012-01-09T00:00:00"/>
    <m/>
    <x v="0"/>
    <s v="Active"/>
    <x v="0"/>
    <x v="5"/>
    <n v="11"/>
    <s v="LinkedIn"/>
    <s v="Exceeds"/>
    <n v="5"/>
    <n v="5"/>
    <n v="0"/>
    <d v="2019-01-07T00:00:00"/>
    <n v="0"/>
    <n v="15"/>
  </r>
  <r>
    <s v="Andreola, Colby"/>
    <n v="10194"/>
    <n v="0"/>
    <n v="0"/>
    <n v="0"/>
    <n v="1"/>
    <n v="4"/>
    <n v="3"/>
    <n v="0"/>
    <n v="95660"/>
    <n v="0"/>
    <n v="24"/>
    <s v="Software Engineer"/>
    <s v="MA"/>
    <n v="2110"/>
    <d v="1979-05-24T00:00:00"/>
    <s v="F"/>
    <s v="Single"/>
    <s v="US Citizen"/>
    <s v="No"/>
    <s v="White"/>
    <d v="2014-11-10T00:00:00"/>
    <m/>
    <x v="0"/>
    <s v="Active"/>
    <x v="2"/>
    <x v="6"/>
    <n v="10"/>
    <s v="LinkedIn"/>
    <s v="Fully Meets"/>
    <n v="3.04"/>
    <n v="3"/>
    <n v="4"/>
    <d v="2019-01-02T00:00:00"/>
    <n v="0"/>
    <n v="19"/>
  </r>
  <r>
    <s v="Athwal, Sam"/>
    <n v="10062"/>
    <n v="0"/>
    <n v="4"/>
    <n v="1"/>
    <n v="1"/>
    <n v="5"/>
    <n v="3"/>
    <n v="0"/>
    <n v="59365"/>
    <n v="0"/>
    <n v="19"/>
    <s v="Production Technician I"/>
    <s v="MA"/>
    <n v="2199"/>
    <d v="1983-02-18T00:00:00"/>
    <s v="M "/>
    <s v="Widowed"/>
    <s v="US Citizen"/>
    <s v="No"/>
    <s v="White"/>
    <d v="2013-09-30T00:00:00"/>
    <m/>
    <x v="0"/>
    <s v="Active"/>
    <x v="0"/>
    <x v="7"/>
    <n v="19"/>
    <s v="Employee Referral"/>
    <s v="Fully Meets"/>
    <n v="5"/>
    <n v="4"/>
    <n v="0"/>
    <d v="2019-02-25T00:00:00"/>
    <n v="0"/>
    <n v="19"/>
  </r>
  <r>
    <s v="Bachiochi, Linda"/>
    <n v="10114"/>
    <n v="0"/>
    <n v="0"/>
    <n v="0"/>
    <n v="3"/>
    <n v="5"/>
    <n v="3"/>
    <n v="1"/>
    <n v="47837"/>
    <n v="0"/>
    <n v="19"/>
    <s v="Production Technician I"/>
    <s v="MA"/>
    <n v="1902"/>
    <d v="1970-02-11T00:00:00"/>
    <s v="F"/>
    <s v="Single"/>
    <s v="US Citizen"/>
    <s v="No"/>
    <s v="Black or African American"/>
    <d v="2009-07-06T00:00:00"/>
    <m/>
    <x v="0"/>
    <s v="Active"/>
    <x v="0"/>
    <x v="8"/>
    <n v="12"/>
    <s v="Diversity Job Fair"/>
    <s v="Fully Meets"/>
    <n v="4.46"/>
    <n v="3"/>
    <n v="0"/>
    <d v="2019-01-25T00:00:00"/>
    <n v="0"/>
    <n v="4"/>
  </r>
  <r>
    <s v="Bacong, Alejandro "/>
    <n v="10250"/>
    <n v="0"/>
    <n v="2"/>
    <n v="1"/>
    <n v="1"/>
    <n v="3"/>
    <n v="3"/>
    <n v="0"/>
    <n v="50178"/>
    <n v="0"/>
    <n v="14"/>
    <s v="IT Support"/>
    <s v="MA"/>
    <n v="1886"/>
    <d v="1988-01-07T00:00:00"/>
    <s v="M "/>
    <s v="Divorced"/>
    <s v="US Citizen"/>
    <s v="No"/>
    <s v="White"/>
    <d v="2015-01-05T00:00:00"/>
    <m/>
    <x v="0"/>
    <s v="Active"/>
    <x v="1"/>
    <x v="9"/>
    <n v="7"/>
    <s v="Indeed"/>
    <s v="Fully Meets"/>
    <n v="5"/>
    <n v="5"/>
    <n v="6"/>
    <d v="2019-02-18T00:00:00"/>
    <n v="0"/>
    <n v="16"/>
  </r>
  <r>
    <s v="Baczenski, Rachael  "/>
    <n v="10252"/>
    <n v="1"/>
    <n v="1"/>
    <n v="0"/>
    <n v="5"/>
    <n v="5"/>
    <n v="3"/>
    <n v="1"/>
    <n v="54670"/>
    <n v="1"/>
    <n v="19"/>
    <s v="Production Technician I"/>
    <s v="MA"/>
    <n v="1902"/>
    <d v="1974-01-12T00:00:00"/>
    <s v="F"/>
    <s v="Married"/>
    <s v="US Citizen"/>
    <s v="Yes"/>
    <s v="Black or African American"/>
    <d v="2011-01-10T00:00:00"/>
    <d v="2017-01-12T00:00:00"/>
    <x v="4"/>
    <s v="Voluntarily Terminated"/>
    <x v="0"/>
    <x v="10"/>
    <n v="14"/>
    <s v="Diversity Job Fair"/>
    <s v="Fully Meets"/>
    <n v="4.2"/>
    <n v="4"/>
    <n v="0"/>
    <d v="2016-01-30T00:00:00"/>
    <n v="0"/>
    <n v="12"/>
  </r>
  <r>
    <s v="Barbara, Thomas"/>
    <n v="10242"/>
    <n v="1"/>
    <n v="1"/>
    <n v="1"/>
    <n v="5"/>
    <n v="5"/>
    <n v="3"/>
    <n v="1"/>
    <n v="47211"/>
    <n v="1"/>
    <n v="19"/>
    <s v="Production Technician I"/>
    <s v="MA"/>
    <n v="2062"/>
    <d v="1974-02-21T00:00:00"/>
    <s v="M "/>
    <s v="Married"/>
    <s v="US Citizen"/>
    <s v="Yes"/>
    <s v="Black or African American"/>
    <d v="2012-04-02T00:00:00"/>
    <d v="2016-09-19T00:00:00"/>
    <x v="5"/>
    <s v="Voluntarily Terminated"/>
    <x v="0"/>
    <x v="2"/>
    <n v="20"/>
    <s v="Diversity Job Fair"/>
    <s v="Fully Meets"/>
    <n v="4.2"/>
    <n v="3"/>
    <n v="0"/>
    <d v="2016-05-06T00:00:00"/>
    <n v="0"/>
    <n v="15"/>
  </r>
  <r>
    <s v="Barbossa, Hector"/>
    <n v="10012"/>
    <n v="0"/>
    <n v="2"/>
    <n v="1"/>
    <n v="1"/>
    <n v="3"/>
    <n v="4"/>
    <n v="1"/>
    <n v="92328"/>
    <n v="0"/>
    <n v="9"/>
    <s v="Data Analyst"/>
    <s v="TX"/>
    <n v="78230"/>
    <d v="1988-07-04T00:00:00"/>
    <s v="M "/>
    <s v="Divorced"/>
    <s v="US Citizen"/>
    <s v="No"/>
    <s v="Black or African American"/>
    <d v="2014-11-10T00:00:00"/>
    <m/>
    <x v="0"/>
    <s v="Active"/>
    <x v="1"/>
    <x v="1"/>
    <n v="4"/>
    <s v="Diversity Job Fair"/>
    <s v="Exceeds"/>
    <n v="4.28"/>
    <n v="4"/>
    <n v="5"/>
    <d v="2019-02-25T00:00:00"/>
    <n v="0"/>
    <n v="9"/>
  </r>
  <r>
    <s v="Barone, Francesco  A"/>
    <n v="10265"/>
    <n v="0"/>
    <n v="0"/>
    <n v="1"/>
    <n v="1"/>
    <n v="5"/>
    <n v="3"/>
    <n v="0"/>
    <n v="58709"/>
    <n v="0"/>
    <n v="19"/>
    <s v="Production Technician I"/>
    <s v="MA"/>
    <n v="1810"/>
    <d v="1983-07-20T00:00:00"/>
    <s v="M "/>
    <s v="Single"/>
    <s v="US Citizen"/>
    <s v="No"/>
    <s v="Two or more races"/>
    <d v="2012-02-20T00:00:00"/>
    <m/>
    <x v="0"/>
    <s v="Active"/>
    <x v="0"/>
    <x v="11"/>
    <n v="18"/>
    <s v="Google Search"/>
    <s v="Fully Meets"/>
    <n v="4.5999999999999996"/>
    <n v="4"/>
    <n v="0"/>
    <d v="2019-02-14T00:00:00"/>
    <n v="0"/>
    <n v="7"/>
  </r>
  <r>
    <s v="Barton, Nader"/>
    <n v="10066"/>
    <n v="0"/>
    <n v="2"/>
    <n v="1"/>
    <n v="5"/>
    <n v="5"/>
    <n v="3"/>
    <n v="0"/>
    <n v="52505"/>
    <n v="1"/>
    <n v="19"/>
    <s v="Production Technician I"/>
    <s v="MA"/>
    <n v="2747"/>
    <d v="1977-07-15T00:00:00"/>
    <s v="M "/>
    <s v="Divorced"/>
    <s v="US Citizen"/>
    <s v="No"/>
    <s v="White"/>
    <d v="2012-09-24T00:00:00"/>
    <d v="2017-04-06T00:00:00"/>
    <x v="4"/>
    <s v="Voluntarily Terminated"/>
    <x v="0"/>
    <x v="0"/>
    <n v="22"/>
    <s v="On-line Web application"/>
    <s v="Fully Meets"/>
    <n v="5"/>
    <n v="5"/>
    <n v="0"/>
    <d v="2017-03-02T00:00:00"/>
    <n v="0"/>
    <n v="1"/>
  </r>
  <r>
    <s v="Bates, Norman"/>
    <n v="10061"/>
    <n v="0"/>
    <n v="0"/>
    <n v="1"/>
    <n v="4"/>
    <n v="5"/>
    <n v="3"/>
    <n v="0"/>
    <n v="57834"/>
    <n v="1"/>
    <n v="19"/>
    <s v="Production Technician I"/>
    <s v="MA"/>
    <n v="2050"/>
    <d v="1981-10-18T00:00:00"/>
    <s v="M "/>
    <s v="Single"/>
    <s v="US Citizen"/>
    <s v="No"/>
    <s v="White"/>
    <d v="2011-02-21T00:00:00"/>
    <d v="2017-08-04T00:00:00"/>
    <x v="6"/>
    <s v="Terminated for Cause"/>
    <x v="0"/>
    <x v="11"/>
    <n v="18"/>
    <s v="Google Search"/>
    <s v="Fully Meets"/>
    <n v="5"/>
    <n v="4"/>
    <n v="0"/>
    <d v="2017-04-05T00:00:00"/>
    <n v="0"/>
    <n v="20"/>
  </r>
  <r>
    <s v="Beak, Kimberly  "/>
    <n v="10023"/>
    <n v="1"/>
    <n v="1"/>
    <n v="0"/>
    <n v="2"/>
    <n v="5"/>
    <n v="4"/>
    <n v="0"/>
    <n v="70131"/>
    <n v="0"/>
    <n v="20"/>
    <s v="Production Technician II"/>
    <s v="MA"/>
    <n v="2145"/>
    <d v="1966-04-17T00:00:00"/>
    <s v="F"/>
    <s v="Married"/>
    <s v="US Citizen"/>
    <s v="No"/>
    <s v="White"/>
    <d v="2016-07-21T00:00:00"/>
    <m/>
    <x v="0"/>
    <s v="Active"/>
    <x v="0"/>
    <x v="11"/>
    <n v="18"/>
    <s v="Employee Referral"/>
    <s v="Exceeds"/>
    <n v="4.4000000000000004"/>
    <n v="3"/>
    <n v="0"/>
    <d v="2019-01-14T00:00:00"/>
    <n v="0"/>
    <n v="16"/>
  </r>
  <r>
    <s v="Beatrice, Courtney "/>
    <n v="10055"/>
    <n v="0"/>
    <n v="0"/>
    <n v="0"/>
    <n v="1"/>
    <n v="5"/>
    <n v="3"/>
    <n v="0"/>
    <n v="59026"/>
    <n v="0"/>
    <n v="19"/>
    <s v="Production Technician I"/>
    <s v="MA"/>
    <n v="1915"/>
    <d v="1970-10-27T00:00:00"/>
    <s v="F"/>
    <s v="Single"/>
    <s v="Eligible NonCitizen"/>
    <s v="No"/>
    <s v="White"/>
    <d v="2011-04-04T00:00:00"/>
    <m/>
    <x v="0"/>
    <s v="Active"/>
    <x v="0"/>
    <x v="3"/>
    <n v="16"/>
    <s v="Google Search"/>
    <s v="Fully Meets"/>
    <n v="5"/>
    <n v="5"/>
    <n v="0"/>
    <d v="2019-01-14T00:00:00"/>
    <n v="0"/>
    <n v="12"/>
  </r>
  <r>
    <s v="Becker, Renee"/>
    <n v="10245"/>
    <n v="0"/>
    <n v="0"/>
    <n v="0"/>
    <n v="4"/>
    <n v="3"/>
    <n v="3"/>
    <n v="0"/>
    <n v="110000"/>
    <n v="1"/>
    <n v="8"/>
    <s v="Database Administrator"/>
    <s v="MA"/>
    <n v="2026"/>
    <d v="1986-04-04T00:00:00"/>
    <s v="F"/>
    <s v="Single"/>
    <s v="US Citizen"/>
    <s v="Yes"/>
    <s v="White"/>
    <d v="2014-07-07T00:00:00"/>
    <d v="2015-09-12T00:00:00"/>
    <x v="7"/>
    <s v="Terminated for Cause"/>
    <x v="1"/>
    <x v="1"/>
    <n v="4"/>
    <s v="Google Search"/>
    <s v="Fully Meets"/>
    <n v="4.5"/>
    <n v="4"/>
    <n v="5"/>
    <d v="2015-01-15T00:00:00"/>
    <n v="0"/>
    <n v="8"/>
  </r>
  <r>
    <s v="Becker, Scott"/>
    <n v="10277"/>
    <n v="0"/>
    <n v="0"/>
    <n v="1"/>
    <n v="3"/>
    <n v="5"/>
    <n v="3"/>
    <n v="0"/>
    <n v="53250"/>
    <n v="0"/>
    <n v="19"/>
    <s v="Production Technician I"/>
    <s v="MA"/>
    <n v="2452"/>
    <d v="1979-04-06T00:00:00"/>
    <s v="M "/>
    <s v="Single"/>
    <s v="US Citizen"/>
    <s v="No"/>
    <s v="Asian"/>
    <d v="2013-07-08T00:00:00"/>
    <m/>
    <x v="0"/>
    <s v="Active"/>
    <x v="0"/>
    <x v="4"/>
    <m/>
    <s v="LinkedIn"/>
    <s v="Fully Meets"/>
    <n v="4.2"/>
    <n v="4"/>
    <n v="0"/>
    <d v="2019-01-11T00:00:00"/>
    <n v="0"/>
    <n v="13"/>
  </r>
  <r>
    <s v="Bernstein, Sean"/>
    <n v="10046"/>
    <n v="0"/>
    <n v="0"/>
    <n v="1"/>
    <n v="1"/>
    <n v="5"/>
    <n v="3"/>
    <n v="0"/>
    <n v="51044"/>
    <n v="0"/>
    <n v="19"/>
    <s v="Production Technician I"/>
    <s v="MA"/>
    <n v="2072"/>
    <d v="1970-12-22T00:00:00"/>
    <s v="M "/>
    <s v="Single"/>
    <s v="US Citizen"/>
    <s v="Yes"/>
    <s v="White"/>
    <d v="2012-04-02T00:00:00"/>
    <m/>
    <x v="0"/>
    <s v="Active"/>
    <x v="0"/>
    <x v="5"/>
    <n v="11"/>
    <s v="Google Search"/>
    <s v="Fully Meets"/>
    <n v="5"/>
    <n v="3"/>
    <n v="0"/>
    <d v="2019-01-14T00:00:00"/>
    <n v="0"/>
    <n v="13"/>
  </r>
  <r>
    <s v="Biden, Lowan  M"/>
    <n v="10226"/>
    <n v="0"/>
    <n v="2"/>
    <n v="0"/>
    <n v="1"/>
    <n v="5"/>
    <n v="3"/>
    <n v="0"/>
    <n v="64919"/>
    <n v="0"/>
    <n v="19"/>
    <s v="Production Technician I"/>
    <s v="MA"/>
    <n v="2027"/>
    <d v="1958-12-27T00:00:00"/>
    <s v="F"/>
    <s v="Divorced"/>
    <s v="US Citizen"/>
    <s v="No"/>
    <s v="Asian"/>
    <d v="2013-08-19T00:00:00"/>
    <m/>
    <x v="0"/>
    <s v="Active"/>
    <x v="0"/>
    <x v="7"/>
    <n v="19"/>
    <s v="Indeed"/>
    <s v="Fully Meets"/>
    <n v="4.2"/>
    <n v="3"/>
    <n v="0"/>
    <d v="2019-01-10T00:00:00"/>
    <n v="0"/>
    <n v="2"/>
  </r>
  <r>
    <s v="Billis, Helen"/>
    <n v="10003"/>
    <n v="1"/>
    <n v="1"/>
    <n v="0"/>
    <n v="1"/>
    <n v="5"/>
    <n v="4"/>
    <n v="0"/>
    <n v="62910"/>
    <n v="0"/>
    <n v="19"/>
    <s v="Production Technician I"/>
    <s v="MA"/>
    <n v="2031"/>
    <d v="1989-09-01T00:00:00"/>
    <s v="F"/>
    <s v="Married"/>
    <s v="US Citizen"/>
    <s v="No"/>
    <s v="White"/>
    <d v="2014-07-07T00:00:00"/>
    <m/>
    <x v="0"/>
    <s v="Active"/>
    <x v="0"/>
    <x v="8"/>
    <n v="12"/>
    <s v="Indeed"/>
    <s v="Exceeds"/>
    <n v="5"/>
    <n v="3"/>
    <n v="0"/>
    <d v="2019-02-27T00:00:00"/>
    <n v="0"/>
    <n v="19"/>
  </r>
  <r>
    <s v="Blount, Dianna"/>
    <n v="10294"/>
    <n v="0"/>
    <n v="0"/>
    <n v="0"/>
    <n v="1"/>
    <n v="5"/>
    <n v="2"/>
    <n v="0"/>
    <n v="66441"/>
    <n v="0"/>
    <n v="20"/>
    <s v="Production Technician II"/>
    <s v="MA"/>
    <n v="2171"/>
    <d v="1990-09-21T00:00:00"/>
    <s v="F"/>
    <s v="Single"/>
    <s v="US Citizen"/>
    <s v="No"/>
    <s v="White"/>
    <d v="2011-04-04T00:00:00"/>
    <m/>
    <x v="0"/>
    <s v="Active"/>
    <x v="0"/>
    <x v="0"/>
    <n v="22"/>
    <s v="CareerBuilder"/>
    <s v="Needs Improvement"/>
    <n v="2"/>
    <n v="3"/>
    <n v="0"/>
    <d v="2019-02-27T00:00:00"/>
    <n v="2"/>
    <n v="3"/>
  </r>
  <r>
    <s v="Bondwell, Betsy"/>
    <n v="10267"/>
    <n v="0"/>
    <n v="0"/>
    <n v="0"/>
    <n v="5"/>
    <n v="5"/>
    <n v="3"/>
    <n v="0"/>
    <n v="57815"/>
    <n v="1"/>
    <n v="20"/>
    <s v="Production Technician II"/>
    <s v="MA"/>
    <n v="2210"/>
    <d v="1967-01-16T00:00:00"/>
    <s v="F"/>
    <s v="Single"/>
    <s v="US Citizen"/>
    <s v="No"/>
    <s v="White"/>
    <d v="2011-01-10T00:00:00"/>
    <d v="2014-04-04T00:00:00"/>
    <x v="1"/>
    <s v="Voluntarily Terminated"/>
    <x v="0"/>
    <x v="3"/>
    <n v="16"/>
    <s v="Google Search"/>
    <s v="Fully Meets"/>
    <n v="4.8"/>
    <n v="5"/>
    <n v="0"/>
    <d v="2014-03-04T00:00:00"/>
    <n v="0"/>
    <n v="5"/>
  </r>
  <r>
    <s v="Booth, Frank"/>
    <n v="10199"/>
    <n v="0"/>
    <n v="0"/>
    <n v="1"/>
    <n v="4"/>
    <n v="3"/>
    <n v="3"/>
    <n v="0"/>
    <n v="103613"/>
    <n v="1"/>
    <n v="30"/>
    <s v="Enterprise Architect"/>
    <s v="CT"/>
    <n v="6033"/>
    <d v="1964-07-30T00:00:00"/>
    <s v="M "/>
    <s v="Single"/>
    <s v="US Citizen"/>
    <s v="No"/>
    <s v="Black or African American"/>
    <d v="2014-02-17T00:00:00"/>
    <d v="2016-02-19T00:00:00"/>
    <x v="8"/>
    <s v="Terminated for Cause"/>
    <x v="1"/>
    <x v="1"/>
    <n v="4"/>
    <s v="LinkedIn"/>
    <s v="Fully Meets"/>
    <n v="3.5"/>
    <n v="5"/>
    <n v="7"/>
    <d v="2016-01-10T00:00:00"/>
    <n v="0"/>
    <n v="2"/>
  </r>
  <r>
    <s v="Boutwell, Bonalyn"/>
    <n v="10081"/>
    <n v="1"/>
    <n v="1"/>
    <n v="0"/>
    <n v="1"/>
    <n v="1"/>
    <n v="3"/>
    <n v="1"/>
    <n v="106367"/>
    <n v="0"/>
    <n v="26"/>
    <s v="Sr. Accountant"/>
    <s v="MA"/>
    <n v="2468"/>
    <d v="1987-04-04T00:00:00"/>
    <s v="F"/>
    <s v="Married"/>
    <s v="US Citizen"/>
    <s v="No"/>
    <s v="Black or African American"/>
    <d v="2015-02-16T00:00:00"/>
    <m/>
    <x v="0"/>
    <s v="Active"/>
    <x v="3"/>
    <x v="12"/>
    <n v="3"/>
    <s v="Diversity Job Fair"/>
    <s v="Fully Meets"/>
    <n v="5"/>
    <n v="4"/>
    <n v="3"/>
    <d v="2019-02-18T00:00:00"/>
    <n v="0"/>
    <n v="4"/>
  </r>
  <r>
    <s v="Bozzi, Charles"/>
    <n v="10175"/>
    <n v="0"/>
    <n v="0"/>
    <n v="1"/>
    <n v="5"/>
    <n v="5"/>
    <n v="3"/>
    <n v="0"/>
    <n v="74312"/>
    <n v="1"/>
    <n v="18"/>
    <s v="Production Manager"/>
    <s v="MA"/>
    <n v="1901"/>
    <d v="1970-03-10T00:00:00"/>
    <s v="M "/>
    <s v="Single"/>
    <s v="US Citizen"/>
    <s v="No"/>
    <s v="Asian"/>
    <d v="2013-09-30T00:00:00"/>
    <d v="2014-08-07T00:00:00"/>
    <x v="9"/>
    <s v="Voluntarily Terminated"/>
    <x v="0"/>
    <x v="13"/>
    <n v="2"/>
    <s v="Indeed"/>
    <s v="Fully Meets"/>
    <n v="3.39"/>
    <n v="3"/>
    <n v="0"/>
    <d v="2014-02-20T00:00:00"/>
    <n v="0"/>
    <n v="14"/>
  </r>
  <r>
    <s v="Brill, Donna"/>
    <n v="10177"/>
    <n v="1"/>
    <n v="1"/>
    <n v="0"/>
    <n v="5"/>
    <n v="5"/>
    <n v="3"/>
    <n v="0"/>
    <n v="53492"/>
    <n v="1"/>
    <n v="19"/>
    <s v="Production Technician I"/>
    <s v="MA"/>
    <n v="1701"/>
    <d v="1990-08-24T00:00:00"/>
    <s v="F"/>
    <s v="Married"/>
    <s v="US Citizen"/>
    <s v="No"/>
    <s v="White"/>
    <d v="2012-04-02T00:00:00"/>
    <d v="2013-06-15T00:00:00"/>
    <x v="4"/>
    <s v="Voluntarily Terminated"/>
    <x v="0"/>
    <x v="10"/>
    <n v="14"/>
    <s v="Google Search"/>
    <s v="Fully Meets"/>
    <n v="3.35"/>
    <n v="4"/>
    <n v="0"/>
    <d v="2013-03-04T00:00:00"/>
    <n v="0"/>
    <n v="6"/>
  </r>
  <r>
    <s v="Brown, Mia"/>
    <n v="10238"/>
    <n v="1"/>
    <n v="1"/>
    <n v="0"/>
    <n v="1"/>
    <n v="1"/>
    <n v="3"/>
    <n v="1"/>
    <n v="63000"/>
    <n v="0"/>
    <n v="1"/>
    <s v="Accountant I"/>
    <s v="MA"/>
    <n v="1450"/>
    <d v="1987-11-24T00:00:00"/>
    <s v="F"/>
    <s v="Married"/>
    <s v="US Citizen"/>
    <s v="No"/>
    <s v="Black or African American"/>
    <d v="2008-10-27T00:00:00"/>
    <m/>
    <x v="0"/>
    <s v="Active"/>
    <x v="3"/>
    <x v="12"/>
    <n v="1"/>
    <s v="Diversity Job Fair"/>
    <s v="Fully Meets"/>
    <n v="4.5"/>
    <n v="2"/>
    <n v="6"/>
    <d v="2019-01-15T00:00:00"/>
    <n v="0"/>
    <n v="14"/>
  </r>
  <r>
    <s v="Buccheri, Joseph  "/>
    <n v="10184"/>
    <n v="0"/>
    <n v="0"/>
    <n v="1"/>
    <n v="1"/>
    <n v="5"/>
    <n v="3"/>
    <n v="0"/>
    <n v="65288"/>
    <n v="0"/>
    <n v="20"/>
    <s v="Production Technician II"/>
    <s v="MA"/>
    <n v="1013"/>
    <d v="1983-07-28T00:00:00"/>
    <s v="M "/>
    <s v="Single"/>
    <s v="US Citizen"/>
    <s v="No"/>
    <s v="White"/>
    <d v="2014-09-29T00:00:00"/>
    <m/>
    <x v="0"/>
    <s v="Active"/>
    <x v="0"/>
    <x v="4"/>
    <m/>
    <s v="Google Search"/>
    <s v="Fully Meets"/>
    <n v="3.19"/>
    <n v="3"/>
    <n v="0"/>
    <d v="2019-02-01T00:00:00"/>
    <n v="0"/>
    <n v="9"/>
  </r>
  <r>
    <s v="Bugali, Josephine "/>
    <n v="10203"/>
    <n v="0"/>
    <n v="3"/>
    <n v="0"/>
    <n v="3"/>
    <n v="5"/>
    <n v="3"/>
    <n v="1"/>
    <n v="64375"/>
    <n v="0"/>
    <n v="19"/>
    <s v="Production Technician I"/>
    <s v="MA"/>
    <n v="2043"/>
    <d v="1969-10-30T00:00:00"/>
    <s v="F"/>
    <s v="Separated"/>
    <s v="US Citizen"/>
    <s v="No"/>
    <s v="Black or African American"/>
    <d v="2013-11-11T00:00:00"/>
    <m/>
    <x v="0"/>
    <s v="Active"/>
    <x v="0"/>
    <x v="2"/>
    <n v="20"/>
    <s v="Diversity Job Fair"/>
    <s v="Fully Meets"/>
    <n v="3.5"/>
    <n v="5"/>
    <n v="0"/>
    <d v="2019-01-21T00:00:00"/>
    <n v="0"/>
    <n v="17"/>
  </r>
  <r>
    <s v="Bunbury, Jessica"/>
    <n v="10188"/>
    <n v="1"/>
    <n v="1"/>
    <n v="0"/>
    <n v="5"/>
    <n v="6"/>
    <n v="3"/>
    <n v="0"/>
    <n v="74326"/>
    <n v="1"/>
    <n v="3"/>
    <s v="Area Sales Manager"/>
    <s v="VA"/>
    <n v="21851"/>
    <d v="1964-06-01T00:00:00"/>
    <s v="F"/>
    <s v="Married"/>
    <s v="Eligible NonCitizen"/>
    <s v="No"/>
    <s v="Black or African American"/>
    <d v="2011-08-15T00:00:00"/>
    <d v="2014-08-02T00:00:00"/>
    <x v="4"/>
    <s v="Voluntarily Terminated"/>
    <x v="4"/>
    <x v="14"/>
    <n v="17"/>
    <s v="Google Search"/>
    <s v="Fully Meets"/>
    <n v="3.14"/>
    <n v="5"/>
    <n v="0"/>
    <d v="2013-02-10T00:00:00"/>
    <n v="1"/>
    <n v="19"/>
  </r>
  <r>
    <s v="Burke, Joelle"/>
    <n v="10107"/>
    <n v="0"/>
    <n v="0"/>
    <n v="0"/>
    <n v="1"/>
    <n v="5"/>
    <n v="3"/>
    <n v="0"/>
    <n v="63763"/>
    <n v="0"/>
    <n v="20"/>
    <s v="Production Technician II"/>
    <s v="MA"/>
    <n v="2148"/>
    <d v="1980-03-02T00:00:00"/>
    <s v="F"/>
    <s v="Single"/>
    <s v="US Citizen"/>
    <s v="No"/>
    <s v="Black or African American"/>
    <d v="2012-03-05T00:00:00"/>
    <m/>
    <x v="0"/>
    <s v="Active"/>
    <x v="0"/>
    <x v="5"/>
    <n v="11"/>
    <s v="Employee Referral"/>
    <s v="Fully Meets"/>
    <n v="4.51"/>
    <n v="4"/>
    <n v="0"/>
    <d v="2019-02-21T00:00:00"/>
    <n v="0"/>
    <n v="3"/>
  </r>
  <r>
    <s v="Burkett, Benjamin "/>
    <n v="10181"/>
    <n v="1"/>
    <n v="1"/>
    <n v="1"/>
    <n v="1"/>
    <n v="5"/>
    <n v="3"/>
    <n v="0"/>
    <n v="62162"/>
    <n v="0"/>
    <n v="20"/>
    <s v="Production Technician II"/>
    <s v="MA"/>
    <n v="1890"/>
    <d v="1977-08-19T00:00:00"/>
    <s v="M "/>
    <s v="Married"/>
    <s v="US Citizen"/>
    <s v="No"/>
    <s v="White"/>
    <d v="2011-04-04T00:00:00"/>
    <m/>
    <x v="0"/>
    <s v="Active"/>
    <x v="0"/>
    <x v="7"/>
    <n v="19"/>
    <s v="Indeed"/>
    <s v="Fully Meets"/>
    <n v="3.25"/>
    <n v="5"/>
    <n v="0"/>
    <d v="2019-01-14T00:00:00"/>
    <n v="0"/>
    <n v="15"/>
  </r>
  <r>
    <s v="Cady, Max "/>
    <n v="10150"/>
    <n v="0"/>
    <n v="0"/>
    <n v="1"/>
    <n v="1"/>
    <n v="4"/>
    <n v="3"/>
    <n v="0"/>
    <n v="77692"/>
    <n v="0"/>
    <n v="25"/>
    <s v="Software Engineering Manager"/>
    <s v="MA"/>
    <n v="2184"/>
    <d v="1966-11-22T00:00:00"/>
    <s v="M "/>
    <s v="Single"/>
    <s v="US Citizen"/>
    <s v="No"/>
    <s v="White"/>
    <d v="2011-08-15T00:00:00"/>
    <m/>
    <x v="0"/>
    <s v="Active"/>
    <x v="2"/>
    <x v="15"/>
    <n v="5"/>
    <s v="Google Search"/>
    <s v="Fully Meets"/>
    <n v="3.84"/>
    <n v="3"/>
    <n v="5"/>
    <d v="2019-01-21T00:00:00"/>
    <n v="0"/>
    <n v="4"/>
  </r>
  <r>
    <s v="Candie, Calvin"/>
    <n v="10001"/>
    <n v="0"/>
    <n v="0"/>
    <n v="1"/>
    <n v="1"/>
    <n v="5"/>
    <n v="4"/>
    <n v="0"/>
    <n v="72640"/>
    <n v="0"/>
    <n v="18"/>
    <s v="Production Manager"/>
    <s v="MA"/>
    <n v="2169"/>
    <d v="1983-08-09T00:00:00"/>
    <s v="M "/>
    <s v="Single"/>
    <s v="US Citizen"/>
    <s v="No"/>
    <s v="White"/>
    <d v="2016-01-28T00:00:00"/>
    <m/>
    <x v="0"/>
    <s v="Active"/>
    <x v="0"/>
    <x v="13"/>
    <n v="2"/>
    <s v="Indeed"/>
    <s v="Exceeds"/>
    <n v="5"/>
    <n v="3"/>
    <n v="0"/>
    <d v="2019-02-22T00:00:00"/>
    <n v="0"/>
    <n v="14"/>
  </r>
  <r>
    <s v="Carabbio, Judith"/>
    <n v="10085"/>
    <n v="0"/>
    <n v="0"/>
    <n v="0"/>
    <n v="1"/>
    <n v="4"/>
    <n v="3"/>
    <n v="0"/>
    <n v="93396"/>
    <n v="0"/>
    <n v="24"/>
    <s v="Software Engineer"/>
    <s v="MA"/>
    <n v="2132"/>
    <d v="1987-04-05T00:00:00"/>
    <s v="F"/>
    <s v="Single"/>
    <s v="US Citizen"/>
    <s v="No"/>
    <s v="White"/>
    <d v="2013-11-11T00:00:00"/>
    <m/>
    <x v="0"/>
    <s v="Active"/>
    <x v="2"/>
    <x v="6"/>
    <n v="10"/>
    <s v="Indeed"/>
    <s v="Fully Meets"/>
    <n v="4.96"/>
    <n v="4"/>
    <n v="6"/>
    <d v="2019-01-30T00:00:00"/>
    <n v="0"/>
    <n v="3"/>
  </r>
  <r>
    <s v="Carey, Michael  "/>
    <n v="10115"/>
    <n v="0"/>
    <n v="0"/>
    <n v="1"/>
    <n v="1"/>
    <n v="5"/>
    <n v="3"/>
    <n v="0"/>
    <n v="52846"/>
    <n v="0"/>
    <n v="19"/>
    <s v="Production Technician I"/>
    <s v="MA"/>
    <n v="1701"/>
    <d v="1983-02-02T00:00:00"/>
    <s v="M "/>
    <s v="Single"/>
    <s v="US Citizen"/>
    <s v="No"/>
    <s v="Black or African American"/>
    <d v="2014-03-31T00:00:00"/>
    <m/>
    <x v="0"/>
    <s v="Active"/>
    <x v="0"/>
    <x v="11"/>
    <n v="18"/>
    <s v="LinkedIn"/>
    <s v="Fully Meets"/>
    <n v="4.43"/>
    <n v="3"/>
    <n v="0"/>
    <d v="2019-02-01T00:00:00"/>
    <n v="0"/>
    <n v="14"/>
  </r>
  <r>
    <s v="Carr, Claudia  N"/>
    <n v="10082"/>
    <n v="0"/>
    <n v="0"/>
    <n v="0"/>
    <n v="2"/>
    <n v="3"/>
    <n v="3"/>
    <n v="0"/>
    <n v="100031"/>
    <n v="0"/>
    <n v="27"/>
    <s v="Sr. DBA"/>
    <s v="MA"/>
    <n v="1886"/>
    <d v="1986-06-06T00:00:00"/>
    <s v="F"/>
    <s v="Single"/>
    <s v="US Citizen"/>
    <s v="No"/>
    <s v="Black or African American"/>
    <d v="2016-06-30T00:00:00"/>
    <m/>
    <x v="0"/>
    <s v="Active"/>
    <x v="1"/>
    <x v="1"/>
    <n v="4"/>
    <s v="LinkedIn"/>
    <s v="Fully Meets"/>
    <n v="5"/>
    <n v="5"/>
    <n v="6"/>
    <d v="2019-02-18T00:00:00"/>
    <n v="0"/>
    <n v="7"/>
  </r>
  <r>
    <s v="Carter, Michelle "/>
    <n v="10040"/>
    <n v="0"/>
    <n v="0"/>
    <n v="0"/>
    <n v="1"/>
    <n v="6"/>
    <n v="3"/>
    <n v="0"/>
    <n v="71860"/>
    <n v="0"/>
    <n v="3"/>
    <s v="Area Sales Manager"/>
    <s v="VT"/>
    <n v="5664"/>
    <d v="1963-05-15T00:00:00"/>
    <s v="F"/>
    <s v="Single"/>
    <s v="US Citizen"/>
    <s v="No"/>
    <s v="White"/>
    <d v="2014-08-18T00:00:00"/>
    <m/>
    <x v="0"/>
    <s v="Active"/>
    <x v="4"/>
    <x v="14"/>
    <n v="17"/>
    <s v="Indeed"/>
    <s v="Fully Meets"/>
    <n v="5"/>
    <n v="5"/>
    <n v="0"/>
    <d v="2019-01-21T00:00:00"/>
    <n v="0"/>
    <n v="7"/>
  </r>
  <r>
    <s v="Chace, Beatrice "/>
    <n v="10067"/>
    <n v="0"/>
    <n v="0"/>
    <n v="0"/>
    <n v="1"/>
    <n v="5"/>
    <n v="3"/>
    <n v="0"/>
    <n v="61656"/>
    <n v="0"/>
    <n v="19"/>
    <s v="Production Technician I"/>
    <s v="MA"/>
    <n v="2763"/>
    <d v="1951-01-02T00:00:00"/>
    <s v="F"/>
    <s v="Single"/>
    <s v="US Citizen"/>
    <s v="No"/>
    <s v="White"/>
    <d v="2014-09-29T00:00:00"/>
    <m/>
    <x v="0"/>
    <s v="Active"/>
    <x v="0"/>
    <x v="0"/>
    <n v="22"/>
    <s v="Google Search"/>
    <s v="Fully Meets"/>
    <n v="5"/>
    <n v="4"/>
    <n v="0"/>
    <d v="2019-02-12T00:00:00"/>
    <n v="0"/>
    <n v="11"/>
  </r>
  <r>
    <s v="Champaigne, Brian"/>
    <n v="10108"/>
    <n v="1"/>
    <n v="1"/>
    <n v="1"/>
    <n v="1"/>
    <n v="3"/>
    <n v="3"/>
    <n v="0"/>
    <n v="110929"/>
    <n v="0"/>
    <n v="5"/>
    <s v="BI Director"/>
    <s v="MA"/>
    <n v="2045"/>
    <d v="1972-02-09T00:00:00"/>
    <s v="M "/>
    <s v="Married"/>
    <s v="US Citizen"/>
    <s v="No"/>
    <s v="White"/>
    <d v="2016-09-06T00:00:00"/>
    <m/>
    <x v="0"/>
    <s v="Active"/>
    <x v="1"/>
    <x v="15"/>
    <n v="5"/>
    <s v="Indeed"/>
    <s v="Fully Meets"/>
    <n v="4.5"/>
    <n v="5"/>
    <n v="7"/>
    <d v="2019-01-15T00:00:00"/>
    <n v="0"/>
    <n v="8"/>
  </r>
  <r>
    <s v="Chan, Lin"/>
    <n v="10210"/>
    <n v="0"/>
    <n v="0"/>
    <n v="0"/>
    <n v="1"/>
    <n v="5"/>
    <n v="3"/>
    <n v="0"/>
    <n v="54237"/>
    <n v="0"/>
    <n v="19"/>
    <s v="Production Technician I"/>
    <s v="MA"/>
    <n v="2170"/>
    <d v="1979-02-12T00:00:00"/>
    <s v="F"/>
    <s v="Single"/>
    <s v="US Citizen"/>
    <s v="No"/>
    <s v="White"/>
    <d v="2014-05-12T00:00:00"/>
    <m/>
    <x v="0"/>
    <s v="Active"/>
    <x v="0"/>
    <x v="3"/>
    <n v="16"/>
    <s v="Indeed"/>
    <s v="Fully Meets"/>
    <n v="3.3"/>
    <n v="4"/>
    <n v="0"/>
    <d v="2019-02-19T00:00:00"/>
    <n v="0"/>
    <n v="11"/>
  </r>
  <r>
    <s v="Chang, Donovan  E"/>
    <n v="10154"/>
    <n v="0"/>
    <n v="0"/>
    <n v="1"/>
    <n v="1"/>
    <n v="5"/>
    <n v="3"/>
    <n v="0"/>
    <n v="60380"/>
    <n v="0"/>
    <n v="19"/>
    <s v="Production Technician I"/>
    <s v="MA"/>
    <n v="1845"/>
    <d v="1983-08-24T00:00:00"/>
    <s v="M "/>
    <s v="Single"/>
    <s v="US Citizen"/>
    <s v="No"/>
    <s v="White"/>
    <d v="2013-07-08T00:00:00"/>
    <m/>
    <x v="0"/>
    <s v="Active"/>
    <x v="0"/>
    <x v="4"/>
    <m/>
    <s v="LinkedIn"/>
    <s v="Fully Meets"/>
    <n v="3.8"/>
    <n v="5"/>
    <n v="0"/>
    <d v="2019-01-14T00:00:00"/>
    <n v="0"/>
    <n v="4"/>
  </r>
  <r>
    <s v="Chigurh, Anton"/>
    <n v="10200"/>
    <n v="0"/>
    <n v="0"/>
    <n v="1"/>
    <n v="1"/>
    <n v="6"/>
    <n v="3"/>
    <n v="0"/>
    <n v="66808"/>
    <n v="0"/>
    <n v="3"/>
    <s v="Area Sales Manager"/>
    <s v="TX"/>
    <n v="78207"/>
    <d v="1970-06-11T00:00:00"/>
    <s v="M "/>
    <s v="Single"/>
    <s v="Eligible NonCitizen"/>
    <s v="No"/>
    <s v="Black or African American"/>
    <d v="2012-05-14T00:00:00"/>
    <m/>
    <x v="0"/>
    <s v="Active"/>
    <x v="4"/>
    <x v="16"/>
    <n v="21"/>
    <s v="Employee Referral"/>
    <s v="Fully Meets"/>
    <n v="3"/>
    <n v="5"/>
    <n v="0"/>
    <d v="2019-01-19T00:00:00"/>
    <n v="0"/>
    <n v="17"/>
  </r>
  <r>
    <s v="Chivukula, Enola"/>
    <n v="10240"/>
    <n v="0"/>
    <n v="0"/>
    <n v="0"/>
    <n v="5"/>
    <n v="5"/>
    <n v="3"/>
    <n v="0"/>
    <n v="64786"/>
    <n v="1"/>
    <n v="19"/>
    <s v="Production Technician I"/>
    <s v="MA"/>
    <n v="1775"/>
    <d v="1983-08-27T00:00:00"/>
    <s v="F"/>
    <s v="Single"/>
    <s v="US Citizen"/>
    <s v="No"/>
    <s v="White"/>
    <d v="2011-06-27T00:00:00"/>
    <d v="2015-11-15T00:00:00"/>
    <x v="10"/>
    <s v="Voluntarily Terminated"/>
    <x v="0"/>
    <x v="5"/>
    <n v="11"/>
    <s v="Indeed"/>
    <s v="Fully Meets"/>
    <n v="4.3"/>
    <n v="4"/>
    <n v="0"/>
    <d v="2015-03-10T00:00:00"/>
    <n v="0"/>
    <n v="3"/>
  </r>
  <r>
    <s v="Cierpiszewski, Caroline  "/>
    <n v="10168"/>
    <n v="0"/>
    <n v="0"/>
    <n v="0"/>
    <n v="1"/>
    <n v="5"/>
    <n v="3"/>
    <n v="0"/>
    <n v="64816"/>
    <n v="0"/>
    <n v="19"/>
    <s v="Production Technician I"/>
    <s v="MA"/>
    <n v="2044"/>
    <d v="1988-05-31T00:00:00"/>
    <s v="F"/>
    <s v="Single"/>
    <s v="Non-Citizen"/>
    <s v="No"/>
    <s v="Black or African American"/>
    <d v="2011-10-03T00:00:00"/>
    <m/>
    <x v="0"/>
    <s v="Active"/>
    <x v="0"/>
    <x v="7"/>
    <n v="19"/>
    <s v="Indeed"/>
    <s v="Fully Meets"/>
    <n v="3.58"/>
    <n v="5"/>
    <n v="0"/>
    <d v="2019-01-30T00:00:00"/>
    <n v="0"/>
    <n v="3"/>
  </r>
  <r>
    <s v="Clayton, Rick"/>
    <n v="10220"/>
    <n v="0"/>
    <n v="0"/>
    <n v="1"/>
    <n v="1"/>
    <n v="3"/>
    <n v="3"/>
    <n v="0"/>
    <n v="68678"/>
    <n v="0"/>
    <n v="14"/>
    <s v="IT Support"/>
    <s v="MA"/>
    <n v="2170"/>
    <d v="1985-09-05T00:00:00"/>
    <s v="M "/>
    <s v="Single"/>
    <s v="US Citizen"/>
    <s v="No"/>
    <s v="White"/>
    <d v="2012-09-05T00:00:00"/>
    <m/>
    <x v="0"/>
    <s v="Active"/>
    <x v="1"/>
    <x v="17"/>
    <n v="6"/>
    <s v="Indeed"/>
    <s v="Fully Meets"/>
    <n v="4.7"/>
    <n v="3"/>
    <n v="6"/>
    <d v="2019-02-27T00:00:00"/>
    <n v="0"/>
    <n v="2"/>
  </r>
  <r>
    <s v="Cloninger, Jennifer"/>
    <n v="10275"/>
    <n v="1"/>
    <n v="1"/>
    <n v="0"/>
    <n v="5"/>
    <n v="5"/>
    <n v="3"/>
    <n v="0"/>
    <n v="64066"/>
    <n v="1"/>
    <n v="20"/>
    <s v="Production Technician II"/>
    <s v="MA"/>
    <n v="1752"/>
    <d v="1981-08-31T00:00:00"/>
    <s v="F"/>
    <s v="Married"/>
    <s v="US Citizen"/>
    <s v="No"/>
    <s v="White"/>
    <d v="2011-05-16T00:00:00"/>
    <d v="2013-01-07T00:00:00"/>
    <x v="5"/>
    <s v="Voluntarily Terminated"/>
    <x v="0"/>
    <x v="8"/>
    <n v="12"/>
    <s v="Google Search"/>
    <s v="Fully Meets"/>
    <n v="4.2"/>
    <n v="5"/>
    <n v="0"/>
    <d v="2012-05-03T00:00:00"/>
    <n v="0"/>
    <n v="9"/>
  </r>
  <r>
    <s v="Close, Phil"/>
    <n v="10269"/>
    <n v="1"/>
    <n v="1"/>
    <n v="1"/>
    <n v="5"/>
    <n v="5"/>
    <n v="3"/>
    <n v="0"/>
    <n v="59369"/>
    <n v="1"/>
    <n v="20"/>
    <s v="Production Technician II"/>
    <s v="MA"/>
    <n v="2169"/>
    <d v="1978-11-25T00:00:00"/>
    <s v="M "/>
    <s v="Married"/>
    <s v="US Citizen"/>
    <s v="No"/>
    <s v="White"/>
    <d v="2010-08-30T00:00:00"/>
    <d v="2011-09-26T00:00:00"/>
    <x v="1"/>
    <s v="Voluntarily Terminated"/>
    <x v="0"/>
    <x v="10"/>
    <n v="14"/>
    <s v="Indeed"/>
    <s v="Fully Meets"/>
    <n v="4.2"/>
    <n v="4"/>
    <n v="0"/>
    <d v="2011-05-04T00:00:00"/>
    <n v="0"/>
    <n v="6"/>
  </r>
  <r>
    <s v="Clukey, Elijian"/>
    <n v="10029"/>
    <n v="1"/>
    <n v="1"/>
    <n v="1"/>
    <n v="2"/>
    <n v="5"/>
    <n v="4"/>
    <n v="0"/>
    <n v="50373"/>
    <n v="0"/>
    <n v="19"/>
    <s v="Production Technician I"/>
    <s v="MA"/>
    <n v="2134"/>
    <d v="1980-08-26T00:00:00"/>
    <s v="M "/>
    <s v="Married"/>
    <s v="US Citizen"/>
    <s v="No"/>
    <s v="White"/>
    <d v="2016-07-06T00:00:00"/>
    <m/>
    <x v="0"/>
    <s v="Active"/>
    <x v="0"/>
    <x v="8"/>
    <n v="12"/>
    <s v="Employee Referral"/>
    <s v="Exceeds"/>
    <n v="4.0999999999999996"/>
    <n v="4"/>
    <n v="0"/>
    <d v="2019-02-28T00:00:00"/>
    <n v="0"/>
    <n v="5"/>
  </r>
  <r>
    <s v="Cockel, James"/>
    <n v="10261"/>
    <n v="0"/>
    <n v="0"/>
    <n v="1"/>
    <n v="1"/>
    <n v="5"/>
    <n v="3"/>
    <n v="0"/>
    <n v="63108"/>
    <n v="0"/>
    <n v="19"/>
    <s v="Production Technician I"/>
    <s v="MA"/>
    <n v="2452"/>
    <d v="1977-09-08T00:00:00"/>
    <s v="M "/>
    <s v="Single"/>
    <s v="US Citizen"/>
    <s v="No"/>
    <s v="White"/>
    <d v="2013-07-08T00:00:00"/>
    <m/>
    <x v="0"/>
    <s v="Active"/>
    <x v="0"/>
    <x v="10"/>
    <n v="14"/>
    <s v="Employee Referral"/>
    <s v="Fully Meets"/>
    <n v="4.4000000000000004"/>
    <n v="5"/>
    <n v="0"/>
    <d v="2019-01-14T00:00:00"/>
    <n v="0"/>
    <n v="3"/>
  </r>
  <r>
    <s v="Cole, Spencer"/>
    <n v="10292"/>
    <n v="0"/>
    <n v="0"/>
    <n v="1"/>
    <n v="4"/>
    <n v="5"/>
    <n v="2"/>
    <n v="0"/>
    <n v="59144"/>
    <n v="1"/>
    <n v="19"/>
    <s v="Production Technician I"/>
    <s v="MA"/>
    <n v="1880"/>
    <d v="1979-08-12T00:00:00"/>
    <s v="M "/>
    <s v="Single"/>
    <s v="US Citizen"/>
    <s v="No"/>
    <s v="Black or African American"/>
    <d v="2011-07-11T00:00:00"/>
    <d v="2016-09-23T00:00:00"/>
    <x v="7"/>
    <s v="Terminated for Cause"/>
    <x v="0"/>
    <x v="2"/>
    <n v="20"/>
    <s v="LinkedIn"/>
    <s v="Needs Improvement"/>
    <n v="2"/>
    <n v="3"/>
    <n v="0"/>
    <d v="2016-05-01T00:00:00"/>
    <n v="5"/>
    <n v="16"/>
  </r>
  <r>
    <s v="Corleone, Michael"/>
    <n v="10282"/>
    <n v="0"/>
    <n v="2"/>
    <n v="1"/>
    <n v="1"/>
    <n v="5"/>
    <n v="2"/>
    <n v="0"/>
    <n v="68051"/>
    <n v="0"/>
    <n v="18"/>
    <s v="Production Manager"/>
    <s v="MA"/>
    <n v="1803"/>
    <d v="1975-12-17T00:00:00"/>
    <s v="M "/>
    <s v="Divorced"/>
    <s v="US Citizen"/>
    <s v="No"/>
    <s v="White"/>
    <d v="2010-07-20T00:00:00"/>
    <m/>
    <x v="0"/>
    <s v="Active"/>
    <x v="0"/>
    <x v="13"/>
    <n v="2"/>
    <s v="CareerBuilder"/>
    <s v="Needs Improvement"/>
    <n v="4.13"/>
    <n v="2"/>
    <n v="0"/>
    <d v="2019-01-14T00:00:00"/>
    <n v="3"/>
    <n v="3"/>
  </r>
  <r>
    <s v="Corleone, Vito"/>
    <n v="10019"/>
    <n v="0"/>
    <n v="0"/>
    <n v="1"/>
    <n v="1"/>
    <n v="5"/>
    <n v="4"/>
    <n v="0"/>
    <n v="170500"/>
    <n v="0"/>
    <n v="10"/>
    <s v="Director of Operations"/>
    <s v="MA"/>
    <n v="2030"/>
    <d v="1983-03-19T00:00:00"/>
    <s v="M "/>
    <s v="Single"/>
    <s v="US Citizen"/>
    <s v="No"/>
    <s v="Black or African American"/>
    <d v="2009-01-05T00:00:00"/>
    <m/>
    <x v="0"/>
    <s v="Active"/>
    <x v="0"/>
    <x v="13"/>
    <n v="2"/>
    <s v="Indeed"/>
    <s v="Exceeds"/>
    <n v="3.7"/>
    <n v="5"/>
    <n v="0"/>
    <d v="2019-02-04T00:00:00"/>
    <n v="0"/>
    <n v="15"/>
  </r>
  <r>
    <s v="Cornett, Lisa "/>
    <n v="10094"/>
    <n v="1"/>
    <n v="1"/>
    <n v="0"/>
    <n v="1"/>
    <n v="5"/>
    <n v="3"/>
    <n v="0"/>
    <n v="63381"/>
    <n v="0"/>
    <n v="19"/>
    <s v="Production Technician I"/>
    <s v="MA"/>
    <n v="2189"/>
    <d v="1977-03-31T00:00:00"/>
    <s v="F"/>
    <s v="Married"/>
    <s v="US Citizen"/>
    <s v="Yes"/>
    <s v="White"/>
    <d v="2015-01-05T00:00:00"/>
    <m/>
    <x v="0"/>
    <s v="Active"/>
    <x v="0"/>
    <x v="11"/>
    <n v="18"/>
    <s v="Indeed"/>
    <s v="Fully Meets"/>
    <n v="4.7300000000000004"/>
    <n v="5"/>
    <n v="0"/>
    <d v="2019-02-14T00:00:00"/>
    <n v="0"/>
    <n v="6"/>
  </r>
  <r>
    <s v="Costello, Frank"/>
    <n v="10193"/>
    <n v="1"/>
    <n v="1"/>
    <n v="1"/>
    <n v="1"/>
    <n v="3"/>
    <n v="3"/>
    <n v="0"/>
    <n v="83552"/>
    <n v="0"/>
    <n v="9"/>
    <s v="Data Analyst"/>
    <s v="MA"/>
    <n v="1810"/>
    <d v="1986-08-26T00:00:00"/>
    <s v="M "/>
    <s v="Married"/>
    <s v="US Citizen"/>
    <s v="No"/>
    <s v="White"/>
    <d v="2015-03-30T00:00:00"/>
    <m/>
    <x v="0"/>
    <s v="Active"/>
    <x v="1"/>
    <x v="1"/>
    <n v="4"/>
    <s v="Indeed"/>
    <s v="Fully Meets"/>
    <n v="3.04"/>
    <n v="3"/>
    <n v="6"/>
    <d v="2019-01-22T00:00:00"/>
    <n v="0"/>
    <n v="2"/>
  </r>
  <r>
    <s v="Crimmings,   Jean"/>
    <n v="10132"/>
    <n v="0"/>
    <n v="0"/>
    <n v="0"/>
    <n v="2"/>
    <n v="5"/>
    <n v="3"/>
    <n v="0"/>
    <n v="56149"/>
    <n v="0"/>
    <n v="19"/>
    <s v="Production Technician I"/>
    <s v="MA"/>
    <n v="1821"/>
    <d v="1987-04-10T00:00:00"/>
    <s v="F"/>
    <s v="Single"/>
    <s v="US Citizen"/>
    <s v="No"/>
    <s v="White"/>
    <d v="2016-07-06T00:00:00"/>
    <m/>
    <x v="0"/>
    <s v="Active"/>
    <x v="0"/>
    <x v="0"/>
    <n v="22"/>
    <s v="LinkedIn"/>
    <s v="Fully Meets"/>
    <n v="4.12"/>
    <n v="5"/>
    <n v="0"/>
    <d v="2019-01-28T00:00:00"/>
    <n v="0"/>
    <n v="15"/>
  </r>
  <r>
    <s v="Cross, Noah"/>
    <n v="10083"/>
    <n v="0"/>
    <n v="0"/>
    <n v="1"/>
    <n v="1"/>
    <n v="3"/>
    <n v="3"/>
    <n v="0"/>
    <n v="92329"/>
    <n v="0"/>
    <n v="28"/>
    <s v="Sr. Network Engineer"/>
    <s v="CT"/>
    <n v="6278"/>
    <d v="1965-09-09T00:00:00"/>
    <s v="M "/>
    <s v="Single"/>
    <s v="US Citizen"/>
    <s v="No"/>
    <s v="White"/>
    <d v="2014-11-10T00:00:00"/>
    <m/>
    <x v="0"/>
    <s v="Active"/>
    <x v="1"/>
    <x v="9"/>
    <n v="7"/>
    <s v="Employee Referral"/>
    <s v="Fully Meets"/>
    <n v="5"/>
    <n v="3"/>
    <n v="4"/>
    <d v="2019-01-02T00:00:00"/>
    <n v="0"/>
    <n v="5"/>
  </r>
  <r>
    <s v="Daneault, Lynn"/>
    <n v="10099"/>
    <n v="0"/>
    <n v="0"/>
    <n v="0"/>
    <n v="1"/>
    <n v="6"/>
    <n v="3"/>
    <n v="0"/>
    <n v="65729"/>
    <n v="0"/>
    <n v="21"/>
    <s v="Sales Manager"/>
    <s v="VT"/>
    <n v="5473"/>
    <d v="1990-04-19T00:00:00"/>
    <s v="F"/>
    <s v="Single"/>
    <s v="US Citizen"/>
    <s v="No"/>
    <s v="White"/>
    <d v="2014-05-05T00:00:00"/>
    <m/>
    <x v="0"/>
    <s v="Active"/>
    <x v="4"/>
    <x v="18"/>
    <n v="15"/>
    <s v="Indeed"/>
    <s v="Fully Meets"/>
    <n v="4.62"/>
    <n v="4"/>
    <n v="0"/>
    <d v="2019-01-24T00:00:00"/>
    <n v="0"/>
    <n v="8"/>
  </r>
  <r>
    <s v="Daniele, Ann  "/>
    <n v="10212"/>
    <n v="1"/>
    <n v="1"/>
    <n v="0"/>
    <n v="3"/>
    <n v="3"/>
    <n v="3"/>
    <n v="0"/>
    <n v="85028"/>
    <n v="0"/>
    <n v="28"/>
    <s v="Sr. Network Engineer"/>
    <s v="CT"/>
    <n v="6033"/>
    <d v="1952-01-18T00:00:00"/>
    <s v="F"/>
    <s v="Married"/>
    <s v="US Citizen"/>
    <s v="No"/>
    <s v="White"/>
    <d v="2014-11-10T00:00:00"/>
    <m/>
    <x v="0"/>
    <s v="Active"/>
    <x v="1"/>
    <x v="9"/>
    <n v="7"/>
    <s v="LinkedIn"/>
    <s v="Fully Meets"/>
    <n v="3.1"/>
    <n v="5"/>
    <n v="8"/>
    <d v="2019-02-12T00:00:00"/>
    <n v="0"/>
    <n v="19"/>
  </r>
  <r>
    <s v="Darson, Jene'ya "/>
    <n v="10056"/>
    <n v="1"/>
    <n v="1"/>
    <n v="0"/>
    <n v="1"/>
    <n v="5"/>
    <n v="3"/>
    <n v="0"/>
    <n v="57583"/>
    <n v="0"/>
    <n v="19"/>
    <s v="Production Technician I"/>
    <s v="MA"/>
    <n v="2110"/>
    <d v="1978-11-05T00:00:00"/>
    <s v="F"/>
    <s v="Married"/>
    <s v="US Citizen"/>
    <s v="No"/>
    <s v="White"/>
    <d v="2012-07-02T00:00:00"/>
    <m/>
    <x v="0"/>
    <s v="Active"/>
    <x v="0"/>
    <x v="3"/>
    <n v="16"/>
    <s v="Indeed"/>
    <s v="Fully Meets"/>
    <n v="5"/>
    <n v="3"/>
    <n v="0"/>
    <d v="2019-02-25T00:00:00"/>
    <n v="0"/>
    <n v="1"/>
  </r>
  <r>
    <s v="Davis, Daniel"/>
    <n v="10143"/>
    <n v="0"/>
    <n v="0"/>
    <n v="1"/>
    <n v="1"/>
    <n v="5"/>
    <n v="3"/>
    <n v="0"/>
    <n v="56294"/>
    <n v="0"/>
    <n v="20"/>
    <s v="Production Technician II"/>
    <s v="MA"/>
    <n v="2458"/>
    <d v="1979-09-14T00:00:00"/>
    <s v="M "/>
    <s v="Single"/>
    <s v="Eligible NonCitizen"/>
    <s v="No"/>
    <s v="Two or more races"/>
    <d v="2011-11-07T00:00:00"/>
    <m/>
    <x v="0"/>
    <s v="Active"/>
    <x v="0"/>
    <x v="2"/>
    <n v="20"/>
    <s v="LinkedIn"/>
    <s v="Fully Meets"/>
    <n v="3.96"/>
    <n v="4"/>
    <n v="0"/>
    <d v="2019-02-27T00:00:00"/>
    <n v="0"/>
    <n v="6"/>
  </r>
  <r>
    <s v="Dee, Randy"/>
    <n v="10311"/>
    <n v="1"/>
    <n v="1"/>
    <n v="1"/>
    <n v="1"/>
    <n v="6"/>
    <n v="1"/>
    <n v="0"/>
    <n v="56991"/>
    <n v="0"/>
    <n v="19"/>
    <s v="Production Technician I"/>
    <s v="MA"/>
    <n v="2138"/>
    <d v="1988-04-15T00:00:00"/>
    <s v="M "/>
    <s v="Married"/>
    <s v="US Citizen"/>
    <s v="No"/>
    <s v="White"/>
    <d v="2018-07-09T00:00:00"/>
    <m/>
    <x v="0"/>
    <s v="Active"/>
    <x v="0"/>
    <x v="8"/>
    <n v="12"/>
    <s v="Indeed"/>
    <s v="Fully Meets"/>
    <n v="4.3"/>
    <n v="4"/>
    <n v="3"/>
    <d v="2019-01-31T00:00:00"/>
    <n v="2"/>
    <n v="2"/>
  </r>
  <r>
    <s v="DeGweck,  James"/>
    <n v="10070"/>
    <n v="1"/>
    <n v="1"/>
    <n v="1"/>
    <n v="5"/>
    <n v="5"/>
    <n v="3"/>
    <n v="0"/>
    <n v="55722"/>
    <n v="1"/>
    <n v="19"/>
    <s v="Production Technician I"/>
    <s v="MA"/>
    <n v="1810"/>
    <d v="1977-10-31T00:00:00"/>
    <s v="M "/>
    <s v="Married"/>
    <s v="US Citizen"/>
    <s v="No"/>
    <s v="White"/>
    <d v="2011-05-16T00:00:00"/>
    <d v="2016-06-08T00:00:00"/>
    <x v="5"/>
    <s v="Voluntarily Terminated"/>
    <x v="0"/>
    <x v="4"/>
    <n v="39"/>
    <s v="Indeed"/>
    <s v="Fully Meets"/>
    <n v="5"/>
    <n v="4"/>
    <n v="0"/>
    <d v="2016-04-02T00:00:00"/>
    <n v="0"/>
    <n v="14"/>
  </r>
  <r>
    <s v="Del Bosque, Keyla"/>
    <n v="10155"/>
    <n v="0"/>
    <n v="0"/>
    <n v="0"/>
    <n v="1"/>
    <n v="4"/>
    <n v="3"/>
    <n v="0"/>
    <n v="101199"/>
    <n v="0"/>
    <n v="24"/>
    <s v="Software Engineer"/>
    <s v="MA"/>
    <n v="2176"/>
    <d v="1979-07-05T00:00:00"/>
    <s v="F"/>
    <s v="Single"/>
    <s v="US Citizen"/>
    <s v="No"/>
    <s v="Black or African American"/>
    <d v="2012-01-09T00:00:00"/>
    <m/>
    <x v="0"/>
    <s v="Active"/>
    <x v="2"/>
    <x v="6"/>
    <n v="10"/>
    <s v="CareerBuilder"/>
    <s v="Fully Meets"/>
    <n v="3.79"/>
    <n v="5"/>
    <n v="5"/>
    <d v="2019-01-25T00:00:00"/>
    <n v="0"/>
    <n v="8"/>
  </r>
  <r>
    <s v="Delarge, Alex"/>
    <n v="10306"/>
    <n v="0"/>
    <n v="0"/>
    <n v="1"/>
    <n v="1"/>
    <n v="6"/>
    <n v="1"/>
    <n v="0"/>
    <n v="61568"/>
    <n v="0"/>
    <n v="3"/>
    <s v="Area Sales Manager"/>
    <s v="AL"/>
    <n v="36006"/>
    <d v="1975-11-02T00:00:00"/>
    <s v="M "/>
    <s v="Single"/>
    <s v="US Citizen"/>
    <s v="No"/>
    <s v="Two or more races"/>
    <d v="2014-09-29T00:00:00"/>
    <m/>
    <x v="0"/>
    <s v="Active"/>
    <x v="4"/>
    <x v="14"/>
    <n v="17"/>
    <s v="Indeed"/>
    <s v="PIP"/>
    <n v="1.93"/>
    <n v="3"/>
    <n v="0"/>
    <d v="2019-01-30T00:00:00"/>
    <n v="6"/>
    <n v="5"/>
  </r>
  <r>
    <s v="Demita, Carla"/>
    <n v="10100"/>
    <n v="0"/>
    <n v="3"/>
    <n v="0"/>
    <n v="5"/>
    <n v="5"/>
    <n v="3"/>
    <n v="0"/>
    <n v="58275"/>
    <n v="1"/>
    <n v="20"/>
    <s v="Production Technician II"/>
    <s v="MA"/>
    <n v="2343"/>
    <d v="1951-02-25T00:00:00"/>
    <s v="F"/>
    <s v="Separated"/>
    <s v="US Citizen"/>
    <s v="No"/>
    <s v="Black or African American"/>
    <d v="2011-04-04T00:00:00"/>
    <d v="2015-11-04T00:00:00"/>
    <x v="11"/>
    <s v="Voluntarily Terminated"/>
    <x v="0"/>
    <x v="11"/>
    <n v="18"/>
    <s v="Google Search"/>
    <s v="Fully Meets"/>
    <n v="4.62"/>
    <n v="5"/>
    <n v="0"/>
    <d v="2015-05-06T00:00:00"/>
    <n v="0"/>
    <n v="1"/>
  </r>
  <r>
    <s v="Desimone, Carl "/>
    <n v="10310"/>
    <n v="1"/>
    <n v="1"/>
    <n v="1"/>
    <n v="1"/>
    <n v="5"/>
    <n v="1"/>
    <n v="0"/>
    <n v="53189"/>
    <n v="0"/>
    <n v="19"/>
    <s v="Production Technician I"/>
    <s v="MA"/>
    <n v="2061"/>
    <d v="1967-04-19T00:00:00"/>
    <s v="M "/>
    <s v="Married"/>
    <s v="US Citizen"/>
    <s v="No"/>
    <s v="White"/>
    <d v="2014-07-07T00:00:00"/>
    <m/>
    <x v="0"/>
    <s v="Active"/>
    <x v="0"/>
    <x v="5"/>
    <n v="11"/>
    <s v="Indeed"/>
    <s v="PIP"/>
    <n v="1.1200000000000001"/>
    <n v="2"/>
    <n v="0"/>
    <d v="2019-01-31T00:00:00"/>
    <n v="4"/>
    <n v="9"/>
  </r>
  <r>
    <s v="DeVito, Tommy"/>
    <n v="10197"/>
    <n v="0"/>
    <n v="0"/>
    <n v="1"/>
    <n v="1"/>
    <n v="3"/>
    <n v="3"/>
    <n v="0"/>
    <n v="96820"/>
    <n v="0"/>
    <n v="4"/>
    <s v="BI Developer"/>
    <s v="MA"/>
    <n v="2045"/>
    <d v="1983-09-04T00:00:00"/>
    <s v="M "/>
    <s v="Single"/>
    <s v="US Citizen"/>
    <s v="No"/>
    <s v="White"/>
    <d v="2017-02-15T00:00:00"/>
    <m/>
    <x v="0"/>
    <s v="Active"/>
    <x v="1"/>
    <x v="19"/>
    <n v="13"/>
    <s v="Indeed"/>
    <s v="Fully Meets"/>
    <n v="3.01"/>
    <n v="5"/>
    <n v="7"/>
    <d v="2019-01-23T00:00:00"/>
    <n v="0"/>
    <n v="15"/>
  </r>
  <r>
    <s v="Dickinson, Geoff "/>
    <n v="10276"/>
    <n v="0"/>
    <n v="0"/>
    <n v="1"/>
    <n v="1"/>
    <n v="5"/>
    <n v="3"/>
    <n v="0"/>
    <n v="51259"/>
    <n v="0"/>
    <n v="19"/>
    <s v="Production Technician I"/>
    <s v="MA"/>
    <n v="2180"/>
    <d v="1982-11-15T00:00:00"/>
    <s v="M "/>
    <s v="Single"/>
    <s v="US Citizen"/>
    <s v="No"/>
    <s v="White"/>
    <d v="2014-05-12T00:00:00"/>
    <m/>
    <x v="0"/>
    <s v="Active"/>
    <x v="0"/>
    <x v="7"/>
    <n v="19"/>
    <s v="Indeed"/>
    <s v="Fully Meets"/>
    <n v="4.3"/>
    <n v="4"/>
    <n v="0"/>
    <d v="2019-02-19T00:00:00"/>
    <n v="0"/>
    <n v="1"/>
  </r>
  <r>
    <s v="Dietrich, Jenna  "/>
    <n v="10304"/>
    <n v="0"/>
    <n v="0"/>
    <n v="0"/>
    <n v="1"/>
    <n v="6"/>
    <n v="1"/>
    <n v="0"/>
    <n v="59231"/>
    <n v="0"/>
    <n v="3"/>
    <s v="Area Sales Manager"/>
    <s v="WA"/>
    <n v="98052"/>
    <d v="1987-05-14T00:00:00"/>
    <s v="F"/>
    <s v="Single"/>
    <s v="US Citizen"/>
    <s v="Yes"/>
    <s v="White"/>
    <d v="2012-02-20T00:00:00"/>
    <m/>
    <x v="0"/>
    <s v="Active"/>
    <x v="4"/>
    <x v="14"/>
    <n v="17"/>
    <s v="Website"/>
    <s v="PIP"/>
    <n v="2.2999999999999998"/>
    <n v="1"/>
    <n v="0"/>
    <d v="2019-01-29T00:00:00"/>
    <n v="2"/>
    <n v="17"/>
  </r>
  <r>
    <s v="DiNocco, Lily "/>
    <n v="10284"/>
    <n v="1"/>
    <n v="1"/>
    <n v="0"/>
    <n v="1"/>
    <n v="5"/>
    <n v="2"/>
    <n v="0"/>
    <n v="61584"/>
    <n v="0"/>
    <n v="19"/>
    <s v="Production Technician I"/>
    <s v="MA"/>
    <n v="2351"/>
    <d v="1978-12-02T00:00:00"/>
    <s v="F"/>
    <s v="Married"/>
    <s v="US Citizen"/>
    <s v="No"/>
    <s v="Black or African American"/>
    <d v="2013-01-07T00:00:00"/>
    <m/>
    <x v="0"/>
    <s v="Active"/>
    <x v="0"/>
    <x v="8"/>
    <n v="12"/>
    <s v="Indeed"/>
    <s v="Needs Improvement"/>
    <n v="3.88"/>
    <n v="4"/>
    <n v="0"/>
    <d v="2019-01-18T00:00:00"/>
    <n v="0"/>
    <n v="6"/>
  </r>
  <r>
    <s v="Dobrin, Denisa  S"/>
    <n v="10207"/>
    <n v="0"/>
    <n v="0"/>
    <n v="0"/>
    <n v="1"/>
    <n v="5"/>
    <n v="3"/>
    <n v="0"/>
    <n v="46335"/>
    <n v="0"/>
    <n v="19"/>
    <s v="Production Technician I"/>
    <s v="MA"/>
    <n v="2125"/>
    <d v="1986-10-07T00:00:00"/>
    <s v="F"/>
    <s v="Single"/>
    <s v="US Citizen"/>
    <s v="Yes"/>
    <s v="White"/>
    <d v="2012-04-02T00:00:00"/>
    <m/>
    <x v="0"/>
    <s v="Active"/>
    <x v="0"/>
    <x v="10"/>
    <n v="14"/>
    <s v="CareerBuilder"/>
    <s v="Fully Meets"/>
    <n v="3.4"/>
    <n v="5"/>
    <n v="0"/>
    <d v="2019-02-19T00:00:00"/>
    <n v="0"/>
    <n v="15"/>
  </r>
  <r>
    <s v="Dolan, Linda"/>
    <n v="10133"/>
    <n v="1"/>
    <n v="1"/>
    <n v="0"/>
    <n v="1"/>
    <n v="3"/>
    <n v="3"/>
    <n v="0"/>
    <n v="70621"/>
    <n v="0"/>
    <n v="14"/>
    <s v="IT Support"/>
    <s v="MA"/>
    <n v="2119"/>
    <d v="1988-07-18T00:00:00"/>
    <s v="F"/>
    <s v="Married"/>
    <s v="US Citizen"/>
    <s v="No"/>
    <s v="White"/>
    <d v="2015-01-05T00:00:00"/>
    <m/>
    <x v="0"/>
    <s v="Active"/>
    <x v="1"/>
    <x v="9"/>
    <n v="7"/>
    <s v="Employee Referral"/>
    <s v="Fully Meets"/>
    <n v="4.1100000000000003"/>
    <n v="4"/>
    <n v="6"/>
    <d v="2019-02-25T00:00:00"/>
    <n v="0"/>
    <n v="16"/>
  </r>
  <r>
    <s v="Dougall, Eric"/>
    <n v="10028"/>
    <n v="0"/>
    <n v="0"/>
    <n v="1"/>
    <n v="1"/>
    <n v="3"/>
    <n v="4"/>
    <n v="0"/>
    <n v="138888"/>
    <n v="0"/>
    <n v="13"/>
    <s v="IT Manager - Support"/>
    <s v="MA"/>
    <n v="1886"/>
    <d v="1970-07-09T00:00:00"/>
    <s v="M "/>
    <s v="Single"/>
    <s v="US Citizen"/>
    <s v="No"/>
    <s v="Black or African American"/>
    <d v="2014-01-05T00:00:00"/>
    <m/>
    <x v="0"/>
    <s v="Active"/>
    <x v="1"/>
    <x v="15"/>
    <n v="5"/>
    <s v="Indeed"/>
    <s v="Exceeds"/>
    <n v="4.3"/>
    <n v="5"/>
    <n v="5"/>
    <d v="2019-01-04T00:00:00"/>
    <n v="0"/>
    <n v="4"/>
  </r>
  <r>
    <s v="Driver, Elle"/>
    <n v="10006"/>
    <n v="0"/>
    <n v="0"/>
    <n v="0"/>
    <n v="1"/>
    <n v="6"/>
    <n v="4"/>
    <n v="0"/>
    <n v="74241"/>
    <n v="0"/>
    <n v="3"/>
    <s v="Area Sales Manager"/>
    <s v="CA"/>
    <n v="90007"/>
    <d v="1988-11-08T00:00:00"/>
    <s v="F"/>
    <s v="Single"/>
    <s v="US Citizen"/>
    <s v="No"/>
    <s v="White"/>
    <d v="2011-01-10T00:00:00"/>
    <m/>
    <x v="0"/>
    <s v="Active"/>
    <x v="4"/>
    <x v="16"/>
    <n v="21"/>
    <s v="Indeed"/>
    <s v="Exceeds"/>
    <n v="4.7699999999999996"/>
    <n v="5"/>
    <n v="0"/>
    <d v="2019-01-27T00:00:00"/>
    <n v="0"/>
    <n v="14"/>
  </r>
  <r>
    <s v="Dunn, Amy  "/>
    <n v="10105"/>
    <n v="0"/>
    <n v="0"/>
    <n v="0"/>
    <n v="1"/>
    <n v="5"/>
    <n v="3"/>
    <n v="0"/>
    <n v="75188"/>
    <n v="0"/>
    <n v="18"/>
    <s v="Production Manager"/>
    <s v="MA"/>
    <n v="1731"/>
    <d v="1973-11-28T00:00:00"/>
    <s v="F"/>
    <s v="Single"/>
    <s v="US Citizen"/>
    <s v="No"/>
    <s v="White"/>
    <d v="2014-09-18T00:00:00"/>
    <m/>
    <x v="0"/>
    <s v="Active"/>
    <x v="0"/>
    <x v="13"/>
    <n v="2"/>
    <s v="Google Search"/>
    <s v="Fully Meets"/>
    <n v="4.5199999999999996"/>
    <n v="4"/>
    <n v="0"/>
    <d v="2019-01-15T00:00:00"/>
    <n v="0"/>
    <n v="4"/>
  </r>
  <r>
    <s v="Dunne, Amy"/>
    <n v="10211"/>
    <n v="1"/>
    <n v="1"/>
    <n v="0"/>
    <n v="1"/>
    <n v="5"/>
    <n v="3"/>
    <n v="0"/>
    <n v="62514"/>
    <n v="0"/>
    <n v="19"/>
    <s v="Production Technician I"/>
    <s v="MA"/>
    <n v="1749"/>
    <d v="1973-09-23T00:00:00"/>
    <s v="F"/>
    <s v="Married"/>
    <s v="US Citizen"/>
    <s v="No"/>
    <s v="White"/>
    <d v="2010-04-26T00:00:00"/>
    <m/>
    <x v="0"/>
    <s v="Active"/>
    <x v="0"/>
    <x v="7"/>
    <n v="19"/>
    <s v="Google Search"/>
    <s v="Fully Meets"/>
    <n v="2.9"/>
    <n v="3"/>
    <n v="0"/>
    <d v="2019-01-21T00:00:00"/>
    <n v="0"/>
    <n v="6"/>
  </r>
  <r>
    <s v="Eaton, Marianne"/>
    <n v="10064"/>
    <n v="1"/>
    <n v="1"/>
    <n v="0"/>
    <n v="5"/>
    <n v="5"/>
    <n v="3"/>
    <n v="0"/>
    <n v="60070"/>
    <n v="1"/>
    <n v="19"/>
    <s v="Production Technician I"/>
    <s v="MA"/>
    <n v="2343"/>
    <d v="1991-09-05T00:00:00"/>
    <s v="F"/>
    <s v="Married"/>
    <s v="US Citizen"/>
    <s v="No"/>
    <s v="White"/>
    <d v="2011-04-04T00:00:00"/>
    <d v="2017-06-06T00:00:00"/>
    <x v="12"/>
    <s v="Voluntarily Terminated"/>
    <x v="0"/>
    <x v="2"/>
    <n v="20"/>
    <s v="Google Search"/>
    <s v="Fully Meets"/>
    <n v="5"/>
    <n v="3"/>
    <n v="0"/>
    <d v="2017-04-09T00:00:00"/>
    <n v="0"/>
    <n v="7"/>
  </r>
  <r>
    <s v="Engdahl, Jean"/>
    <n v="10247"/>
    <n v="0"/>
    <n v="0"/>
    <n v="1"/>
    <n v="1"/>
    <n v="5"/>
    <n v="3"/>
    <n v="0"/>
    <n v="48888"/>
    <n v="0"/>
    <n v="19"/>
    <s v="Production Technician I"/>
    <s v="MA"/>
    <n v="2026"/>
    <d v="1974-05-31T00:00:00"/>
    <s v="M "/>
    <s v="Single"/>
    <s v="US Citizen"/>
    <s v="No"/>
    <s v="White"/>
    <d v="2014-11-10T00:00:00"/>
    <m/>
    <x v="0"/>
    <s v="Active"/>
    <x v="0"/>
    <x v="11"/>
    <n v="18"/>
    <s v="LinkedIn"/>
    <s v="Fully Meets"/>
    <n v="4.7"/>
    <n v="5"/>
    <n v="0"/>
    <d v="2019-02-13T00:00:00"/>
    <n v="0"/>
    <n v="8"/>
  </r>
  <r>
    <s v="England, Rex"/>
    <n v="10235"/>
    <n v="1"/>
    <n v="1"/>
    <n v="1"/>
    <n v="1"/>
    <n v="5"/>
    <n v="3"/>
    <n v="0"/>
    <n v="54285"/>
    <n v="0"/>
    <n v="19"/>
    <s v="Production Technician I"/>
    <s v="MA"/>
    <n v="2045"/>
    <d v="1978-08-25T00:00:00"/>
    <s v="M "/>
    <s v="Married"/>
    <s v="US Citizen"/>
    <s v="No"/>
    <s v="White"/>
    <d v="2014-03-31T00:00:00"/>
    <m/>
    <x v="0"/>
    <s v="Active"/>
    <x v="0"/>
    <x v="11"/>
    <n v="18"/>
    <s v="Employee Referral"/>
    <s v="Fully Meets"/>
    <n v="4.2"/>
    <n v="3"/>
    <n v="0"/>
    <d v="2019-01-11T00:00:00"/>
    <n v="0"/>
    <n v="3"/>
  </r>
  <r>
    <s v="Erilus, Angela"/>
    <n v="10299"/>
    <n v="0"/>
    <n v="3"/>
    <n v="0"/>
    <n v="1"/>
    <n v="5"/>
    <n v="1"/>
    <n v="0"/>
    <n v="56847"/>
    <n v="0"/>
    <n v="20"/>
    <s v="Production Technician II"/>
    <s v="MA"/>
    <n v="2133"/>
    <d v="1989-08-25T00:00:00"/>
    <s v="F"/>
    <s v="Separated"/>
    <s v="US Citizen"/>
    <s v="No"/>
    <s v="White"/>
    <d v="2014-07-07T00:00:00"/>
    <m/>
    <x v="0"/>
    <s v="Active"/>
    <x v="0"/>
    <x v="0"/>
    <n v="22"/>
    <s v="Indeed"/>
    <s v="PIP"/>
    <n v="3"/>
    <n v="1"/>
    <n v="0"/>
    <d v="2019-02-25T00:00:00"/>
    <n v="2"/>
    <n v="5"/>
  </r>
  <r>
    <s v="Estremera, Miguel"/>
    <n v="10280"/>
    <n v="0"/>
    <n v="0"/>
    <n v="1"/>
    <n v="4"/>
    <n v="5"/>
    <n v="2"/>
    <n v="0"/>
    <n v="60340"/>
    <n v="1"/>
    <n v="19"/>
    <s v="Production Technician I"/>
    <s v="MA"/>
    <n v="2129"/>
    <d v="1983-09-02T00:00:00"/>
    <s v="M "/>
    <s v="Single"/>
    <s v="US Citizen"/>
    <s v="No"/>
    <s v="White"/>
    <d v="2012-04-02T00:00:00"/>
    <d v="2018-09-27T00:00:00"/>
    <x v="6"/>
    <s v="Terminated for Cause"/>
    <x v="0"/>
    <x v="0"/>
    <n v="22"/>
    <s v="Google Search"/>
    <s v="Needs Improvement"/>
    <n v="5"/>
    <n v="4"/>
    <n v="0"/>
    <d v="2018-04-12T00:00:00"/>
    <n v="5"/>
    <n v="16"/>
  </r>
  <r>
    <s v="Evensen, April"/>
    <n v="10296"/>
    <n v="0"/>
    <n v="0"/>
    <n v="0"/>
    <n v="4"/>
    <n v="5"/>
    <n v="2"/>
    <n v="0"/>
    <n v="59124"/>
    <n v="1"/>
    <n v="19"/>
    <s v="Production Technician I"/>
    <s v="MA"/>
    <n v="2458"/>
    <d v="1989-05-06T00:00:00"/>
    <s v="F"/>
    <s v="Single"/>
    <s v="US Citizen"/>
    <s v="No"/>
    <s v="White"/>
    <d v="2014-02-17T00:00:00"/>
    <d v="2018-02-25T00:00:00"/>
    <x v="13"/>
    <s v="Terminated for Cause"/>
    <x v="0"/>
    <x v="3"/>
    <n v="16"/>
    <s v="Google Search"/>
    <s v="Needs Improvement"/>
    <n v="2.2999999999999998"/>
    <n v="3"/>
    <n v="0"/>
    <d v="2017-01-15T00:00:00"/>
    <n v="5"/>
    <n v="19"/>
  </r>
  <r>
    <s v="Exantus, Susan"/>
    <n v="10290"/>
    <n v="1"/>
    <n v="1"/>
    <n v="0"/>
    <n v="4"/>
    <n v="4"/>
    <n v="2"/>
    <n v="0"/>
    <n v="99280"/>
    <n v="1"/>
    <n v="24"/>
    <s v="Software Engineer"/>
    <s v="MA"/>
    <n v="1749"/>
    <d v="1987-05-15T00:00:00"/>
    <s v="F"/>
    <s v="Married"/>
    <s v="US Citizen"/>
    <s v="No"/>
    <s v="Black or African American"/>
    <d v="2011-05-02T00:00:00"/>
    <d v="2013-06-05T00:00:00"/>
    <x v="6"/>
    <s v="Terminated for Cause"/>
    <x v="2"/>
    <x v="6"/>
    <n v="10"/>
    <s v="Indeed"/>
    <s v="Needs Improvement"/>
    <n v="2.1"/>
    <n v="5"/>
    <n v="4"/>
    <d v="2012-08-10T00:00:00"/>
    <n v="4"/>
    <n v="19"/>
  </r>
  <r>
    <s v="Faller, Megan "/>
    <n v="10263"/>
    <n v="1"/>
    <n v="1"/>
    <n v="0"/>
    <n v="1"/>
    <n v="5"/>
    <n v="3"/>
    <n v="0"/>
    <n v="71776"/>
    <n v="0"/>
    <n v="20"/>
    <s v="Production Technician II"/>
    <s v="MA"/>
    <n v="1824"/>
    <d v="1978-09-22T00:00:00"/>
    <s v="F"/>
    <s v="Married"/>
    <s v="US Citizen"/>
    <s v="No"/>
    <s v="Black or African American"/>
    <d v="2014-07-07T00:00:00"/>
    <m/>
    <x v="0"/>
    <s v="Active"/>
    <x v="0"/>
    <x v="3"/>
    <n v="16"/>
    <s v="LinkedIn"/>
    <s v="Fully Meets"/>
    <n v="4.4000000000000004"/>
    <n v="5"/>
    <n v="0"/>
    <d v="2019-02-22T00:00:00"/>
    <n v="0"/>
    <n v="17"/>
  </r>
  <r>
    <s v="Fancett, Nicole"/>
    <n v="10136"/>
    <n v="0"/>
    <n v="0"/>
    <n v="0"/>
    <n v="1"/>
    <n v="5"/>
    <n v="3"/>
    <n v="0"/>
    <n v="65902"/>
    <n v="0"/>
    <n v="20"/>
    <s v="Production Technician II"/>
    <s v="MA"/>
    <n v="2324"/>
    <d v="1987-09-27T00:00:00"/>
    <s v="F"/>
    <s v="Single"/>
    <s v="US Citizen"/>
    <s v="No"/>
    <s v="Black or African American"/>
    <d v="2014-02-17T00:00:00"/>
    <m/>
    <x v="0"/>
    <s v="Active"/>
    <x v="0"/>
    <x v="4"/>
    <m/>
    <s v="LinkedIn"/>
    <s v="Fully Meets"/>
    <n v="4"/>
    <n v="4"/>
    <n v="0"/>
    <d v="2019-01-07T00:00:00"/>
    <n v="0"/>
    <n v="7"/>
  </r>
  <r>
    <s v="Ferguson, Susan"/>
    <n v="10189"/>
    <n v="1"/>
    <n v="1"/>
    <n v="0"/>
    <n v="5"/>
    <n v="5"/>
    <n v="3"/>
    <n v="0"/>
    <n v="57748"/>
    <n v="1"/>
    <n v="19"/>
    <s v="Production Technician I"/>
    <s v="MA"/>
    <n v="2176"/>
    <d v="1955-04-14T00:00:00"/>
    <s v="F"/>
    <s v="Married"/>
    <s v="US Citizen"/>
    <s v="No"/>
    <s v="White"/>
    <d v="2011-11-07T00:00:00"/>
    <d v="2016-05-17T00:00:00"/>
    <x v="12"/>
    <s v="Voluntarily Terminated"/>
    <x v="0"/>
    <x v="4"/>
    <n v="39"/>
    <s v="Google Search"/>
    <s v="Fully Meets"/>
    <n v="3.13"/>
    <n v="3"/>
    <n v="0"/>
    <d v="2016-02-04T00:00:00"/>
    <n v="0"/>
    <n v="16"/>
  </r>
  <r>
    <s v="Fernandes, Nilson  "/>
    <n v="10308"/>
    <n v="1"/>
    <n v="1"/>
    <n v="1"/>
    <n v="1"/>
    <n v="5"/>
    <n v="1"/>
    <n v="0"/>
    <n v="64057"/>
    <n v="0"/>
    <n v="19"/>
    <s v="Production Technician I"/>
    <s v="MA"/>
    <n v="2132"/>
    <d v="1989-10-18T00:00:00"/>
    <s v="M "/>
    <s v="Married"/>
    <s v="US Citizen"/>
    <s v="No"/>
    <s v="White"/>
    <d v="2015-05-11T00:00:00"/>
    <m/>
    <x v="0"/>
    <s v="Active"/>
    <x v="0"/>
    <x v="5"/>
    <n v="11"/>
    <s v="Indeed"/>
    <s v="PIP"/>
    <n v="1.56"/>
    <n v="5"/>
    <n v="0"/>
    <d v="2019-01-03T00:00:00"/>
    <n v="6"/>
    <n v="15"/>
  </r>
  <r>
    <s v="Fett, Boba"/>
    <n v="10309"/>
    <n v="0"/>
    <n v="0"/>
    <n v="1"/>
    <n v="1"/>
    <n v="3"/>
    <n v="1"/>
    <n v="0"/>
    <n v="53366"/>
    <n v="0"/>
    <n v="15"/>
    <s v="Network Engineer"/>
    <s v="MA"/>
    <n v="2138"/>
    <d v="1987-06-18T00:00:00"/>
    <s v="M "/>
    <s v="Single"/>
    <s v="US Citizen"/>
    <s v="No"/>
    <s v="White"/>
    <d v="2015-03-30T00:00:00"/>
    <m/>
    <x v="0"/>
    <s v="Active"/>
    <x v="1"/>
    <x v="9"/>
    <n v="7"/>
    <s v="LinkedIn"/>
    <s v="PIP"/>
    <n v="1.2"/>
    <n v="3"/>
    <n v="6"/>
    <d v="2019-02-04T00:00:00"/>
    <n v="3"/>
    <n v="2"/>
  </r>
  <r>
    <s v="Fidelia,  Libby"/>
    <n v="10049"/>
    <n v="1"/>
    <n v="1"/>
    <n v="0"/>
    <n v="1"/>
    <n v="5"/>
    <n v="3"/>
    <n v="0"/>
    <n v="58530"/>
    <n v="0"/>
    <n v="19"/>
    <s v="Production Technician I"/>
    <s v="MA"/>
    <n v="2155"/>
    <d v="1981-03-16T00:00:00"/>
    <s v="F"/>
    <s v="Married"/>
    <s v="US Citizen"/>
    <s v="No"/>
    <s v="White"/>
    <d v="2012-01-09T00:00:00"/>
    <m/>
    <x v="0"/>
    <s v="Active"/>
    <x v="0"/>
    <x v="8"/>
    <n v="12"/>
    <s v="Google Search"/>
    <s v="Fully Meets"/>
    <n v="5"/>
    <n v="5"/>
    <n v="0"/>
    <d v="2019-01-29T00:00:00"/>
    <n v="0"/>
    <n v="19"/>
  </r>
  <r>
    <s v="Fitzpatrick, Michael  J"/>
    <n v="10093"/>
    <n v="0"/>
    <n v="0"/>
    <n v="1"/>
    <n v="5"/>
    <n v="5"/>
    <n v="3"/>
    <n v="0"/>
    <n v="72609"/>
    <n v="1"/>
    <n v="20"/>
    <s v="Production Technician II"/>
    <s v="MA"/>
    <n v="2143"/>
    <d v="1981-10-01T00:00:00"/>
    <s v="M "/>
    <s v="Single"/>
    <s v="US Citizen"/>
    <s v="Yes"/>
    <s v="White"/>
    <d v="2011-05-16T00:00:00"/>
    <d v="2013-06-24T00:00:00"/>
    <x v="2"/>
    <s v="Voluntarily Terminated"/>
    <x v="0"/>
    <x v="5"/>
    <n v="11"/>
    <s v="Google Search"/>
    <s v="Fully Meets"/>
    <n v="4.76"/>
    <n v="5"/>
    <n v="0"/>
    <d v="2013-04-05T00:00:00"/>
    <n v="0"/>
    <n v="20"/>
  </r>
  <r>
    <s v="Foreman, Tanya"/>
    <n v="10163"/>
    <n v="1"/>
    <n v="1"/>
    <n v="0"/>
    <n v="5"/>
    <n v="5"/>
    <n v="3"/>
    <n v="0"/>
    <n v="55965"/>
    <n v="1"/>
    <n v="20"/>
    <s v="Production Technician II"/>
    <s v="MA"/>
    <n v="2170"/>
    <d v="1983-11-08T00:00:00"/>
    <s v="F"/>
    <s v="Married"/>
    <s v="US Citizen"/>
    <s v="No"/>
    <s v="White"/>
    <d v="2011-04-04T00:00:00"/>
    <d v="2013-01-09T00:00:00"/>
    <x v="1"/>
    <s v="Voluntarily Terminated"/>
    <x v="0"/>
    <x v="7"/>
    <n v="19"/>
    <s v="Google Search"/>
    <s v="Fully Meets"/>
    <n v="3.66"/>
    <n v="3"/>
    <n v="0"/>
    <d v="2012-01-07T00:00:00"/>
    <n v="0"/>
    <n v="6"/>
  </r>
  <r>
    <s v="Forrest, Alex"/>
    <n v="10305"/>
    <n v="1"/>
    <n v="1"/>
    <n v="1"/>
    <n v="1"/>
    <n v="6"/>
    <n v="3"/>
    <n v="0"/>
    <n v="70187"/>
    <n v="1"/>
    <n v="3"/>
    <s v="Area Sales Manager"/>
    <s v="MA"/>
    <n v="2330"/>
    <d v="1975-07-07T00:00:00"/>
    <s v="M "/>
    <s v="Married"/>
    <s v="US Citizen"/>
    <s v="No"/>
    <s v="White"/>
    <d v="2014-09-29T00:00:00"/>
    <d v="2018-08-19T00:00:00"/>
    <x v="14"/>
    <s v="Terminated for Cause"/>
    <x v="4"/>
    <x v="16"/>
    <n v="21"/>
    <s v="Employee Referral"/>
    <s v="PIP"/>
    <n v="2"/>
    <n v="5"/>
    <n v="0"/>
    <d v="2019-01-28T00:00:00"/>
    <n v="4"/>
    <n v="7"/>
  </r>
  <r>
    <s v="Foss, Jason"/>
    <n v="10015"/>
    <n v="0"/>
    <n v="0"/>
    <n v="1"/>
    <n v="1"/>
    <n v="3"/>
    <n v="4"/>
    <n v="0"/>
    <n v="178000"/>
    <n v="0"/>
    <n v="12"/>
    <s v="IT Director"/>
    <s v="MA"/>
    <n v="1460"/>
    <d v="1980-07-05T00:00:00"/>
    <s v="M "/>
    <s v="Single"/>
    <s v="US Citizen"/>
    <s v="No"/>
    <s v="Black or African American"/>
    <d v="2011-04-15T00:00:00"/>
    <m/>
    <x v="0"/>
    <s v="Active"/>
    <x v="1"/>
    <x v="15"/>
    <n v="5"/>
    <s v="Indeed"/>
    <s v="Exceeds"/>
    <n v="5"/>
    <n v="5"/>
    <n v="5"/>
    <d v="2019-01-07T00:00:00"/>
    <n v="0"/>
    <n v="15"/>
  </r>
  <r>
    <s v="Foster-Baker, Amy"/>
    <n v="10080"/>
    <n v="1"/>
    <n v="1"/>
    <n v="0"/>
    <n v="1"/>
    <n v="1"/>
    <n v="3"/>
    <n v="0"/>
    <n v="99351"/>
    <n v="0"/>
    <n v="26"/>
    <s v="Sr. Accountant"/>
    <s v="MA"/>
    <n v="2050"/>
    <d v="1979-04-16T00:00:00"/>
    <s v="F"/>
    <s v="Married"/>
    <s v="US Citizen"/>
    <s v="No"/>
    <s v="White"/>
    <d v="2009-01-05T00:00:00"/>
    <m/>
    <x v="0"/>
    <s v="Active"/>
    <x v="3"/>
    <x v="20"/>
    <n v="9"/>
    <s v="Other"/>
    <s v="Fully Meets"/>
    <n v="5"/>
    <n v="3"/>
    <n v="2"/>
    <d v="2019-02-08T00:00:00"/>
    <n v="0"/>
    <n v="3"/>
  </r>
  <r>
    <s v="Fraval, Maruk "/>
    <n v="10258"/>
    <n v="0"/>
    <n v="0"/>
    <n v="1"/>
    <n v="1"/>
    <n v="6"/>
    <n v="3"/>
    <n v="0"/>
    <n v="67251"/>
    <n v="0"/>
    <n v="3"/>
    <s v="Area Sales Manager"/>
    <s v="CT"/>
    <n v="6050"/>
    <d v="1963-08-28T00:00:00"/>
    <s v="M "/>
    <s v="Single"/>
    <s v="US Citizen"/>
    <s v="No"/>
    <s v="Black or African American"/>
    <d v="2011-09-06T00:00:00"/>
    <m/>
    <x v="0"/>
    <s v="Active"/>
    <x v="4"/>
    <x v="16"/>
    <n v="21"/>
    <s v="CareerBuilder"/>
    <s v="Fully Meets"/>
    <n v="4.3"/>
    <n v="3"/>
    <n v="0"/>
    <d v="2019-01-27T00:00:00"/>
    <n v="2"/>
    <n v="7"/>
  </r>
  <r>
    <s v="Galia, Lisa"/>
    <n v="10273"/>
    <n v="0"/>
    <n v="0"/>
    <n v="0"/>
    <n v="1"/>
    <n v="3"/>
    <n v="3"/>
    <n v="0"/>
    <n v="65707"/>
    <n v="0"/>
    <n v="14"/>
    <s v="IT Support"/>
    <s v="CT"/>
    <n v="6040"/>
    <d v="1968-07-06T00:00:00"/>
    <s v="F"/>
    <s v="Single"/>
    <s v="US Citizen"/>
    <s v="No"/>
    <s v="White"/>
    <d v="2010-05-01T00:00:00"/>
    <m/>
    <x v="0"/>
    <s v="Active"/>
    <x v="1"/>
    <x v="17"/>
    <n v="6"/>
    <s v="LinkedIn"/>
    <s v="Fully Meets"/>
    <n v="4.7"/>
    <n v="4"/>
    <n v="5"/>
    <d v="2019-02-01T00:00:00"/>
    <n v="0"/>
    <n v="1"/>
  </r>
  <r>
    <s v="Garcia, Raul"/>
    <n v="10111"/>
    <n v="0"/>
    <n v="0"/>
    <n v="1"/>
    <n v="1"/>
    <n v="5"/>
    <n v="3"/>
    <n v="0"/>
    <n v="52249"/>
    <n v="0"/>
    <n v="19"/>
    <s v="Production Technician I"/>
    <s v="MA"/>
    <n v="1905"/>
    <d v="1985-09-15T00:00:00"/>
    <s v="M "/>
    <s v="Single"/>
    <s v="US Citizen"/>
    <s v="Yes"/>
    <s v="White"/>
    <d v="2015-03-30T00:00:00"/>
    <m/>
    <x v="0"/>
    <s v="Active"/>
    <x v="0"/>
    <x v="10"/>
    <n v="14"/>
    <s v="Employee Referral"/>
    <s v="Fully Meets"/>
    <n v="4.5"/>
    <n v="3"/>
    <n v="0"/>
    <d v="2019-02-18T00:00:00"/>
    <n v="0"/>
    <n v="5"/>
  </r>
  <r>
    <s v="Gaul, Barbara"/>
    <n v="10257"/>
    <n v="0"/>
    <n v="0"/>
    <n v="0"/>
    <n v="1"/>
    <n v="5"/>
    <n v="3"/>
    <n v="0"/>
    <n v="53171"/>
    <n v="0"/>
    <n v="19"/>
    <s v="Production Technician I"/>
    <s v="MA"/>
    <n v="2121"/>
    <d v="1983-12-02T00:00:00"/>
    <s v="F"/>
    <s v="Single"/>
    <s v="US Citizen"/>
    <s v="Yes"/>
    <s v="Black or African American"/>
    <d v="2011-05-16T00:00:00"/>
    <m/>
    <x v="0"/>
    <s v="Active"/>
    <x v="0"/>
    <x v="11"/>
    <n v="18"/>
    <s v="LinkedIn"/>
    <s v="Fully Meets"/>
    <n v="4.2"/>
    <n v="4"/>
    <n v="0"/>
    <d v="2019-02-26T00:00:00"/>
    <n v="0"/>
    <n v="12"/>
  </r>
  <r>
    <s v="Gentry, Mildred"/>
    <n v="10159"/>
    <n v="1"/>
    <n v="1"/>
    <n v="0"/>
    <n v="1"/>
    <n v="5"/>
    <n v="3"/>
    <n v="0"/>
    <n v="51337"/>
    <n v="0"/>
    <n v="19"/>
    <s v="Production Technician I"/>
    <s v="MA"/>
    <n v="2145"/>
    <d v="1990-10-01T00:00:00"/>
    <s v="F"/>
    <s v="Married"/>
    <s v="US Citizen"/>
    <s v="No"/>
    <s v="Black or African American"/>
    <d v="2015-03-30T00:00:00"/>
    <m/>
    <x v="0"/>
    <s v="Active"/>
    <x v="0"/>
    <x v="0"/>
    <n v="22"/>
    <s v="LinkedIn"/>
    <s v="Fully Meets"/>
    <n v="3.73"/>
    <n v="3"/>
    <n v="0"/>
    <d v="2019-01-16T00:00:00"/>
    <n v="0"/>
    <n v="19"/>
  </r>
  <r>
    <s v="Gerke, Melisa"/>
    <n v="10122"/>
    <n v="0"/>
    <n v="2"/>
    <n v="0"/>
    <n v="5"/>
    <n v="5"/>
    <n v="3"/>
    <n v="1"/>
    <n v="51505"/>
    <n v="1"/>
    <n v="19"/>
    <s v="Production Technician I"/>
    <s v="MA"/>
    <n v="2330"/>
    <d v="1970-05-15T00:00:00"/>
    <s v="F"/>
    <s v="Divorced"/>
    <s v="US Citizen"/>
    <s v="No"/>
    <s v="Black or African American"/>
    <d v="2011-11-07T00:00:00"/>
    <d v="2016-11-15T00:00:00"/>
    <x v="2"/>
    <s v="Voluntarily Terminated"/>
    <x v="0"/>
    <x v="3"/>
    <n v="16"/>
    <s v="Diversity Job Fair"/>
    <s v="Fully Meets"/>
    <n v="4.24"/>
    <n v="4"/>
    <n v="0"/>
    <d v="2016-04-29T00:00:00"/>
    <n v="0"/>
    <n v="2"/>
  </r>
  <r>
    <s v="Gill, Whitney  "/>
    <n v="10142"/>
    <n v="0"/>
    <n v="4"/>
    <n v="0"/>
    <n v="4"/>
    <n v="6"/>
    <n v="3"/>
    <n v="0"/>
    <n v="59370"/>
    <n v="1"/>
    <n v="3"/>
    <s v="Area Sales Manager"/>
    <s v="OH"/>
    <n v="43050"/>
    <d v="1971-07-10T00:00:00"/>
    <s v="F"/>
    <s v="Widowed"/>
    <s v="US Citizen"/>
    <s v="No"/>
    <s v="Black or African American"/>
    <d v="2014-07-07T00:00:00"/>
    <d v="2015-09-05T00:00:00"/>
    <x v="6"/>
    <s v="Terminated for Cause"/>
    <x v="4"/>
    <x v="14"/>
    <n v="17"/>
    <s v="CareerBuilder"/>
    <s v="Fully Meets"/>
    <n v="3.97"/>
    <n v="4"/>
    <n v="0"/>
    <d v="2014-01-15T00:00:00"/>
    <n v="0"/>
    <n v="7"/>
  </r>
  <r>
    <s v="Gilles, Alex"/>
    <n v="10283"/>
    <n v="1"/>
    <n v="1"/>
    <n v="1"/>
    <n v="5"/>
    <n v="5"/>
    <n v="2"/>
    <n v="1"/>
    <n v="54933"/>
    <n v="1"/>
    <n v="19"/>
    <s v="Production Technician I"/>
    <s v="MA"/>
    <n v="2062"/>
    <d v="1974-08-09T00:00:00"/>
    <s v="M "/>
    <s v="Married"/>
    <s v="US Citizen"/>
    <s v="No"/>
    <s v="Black or African American"/>
    <d v="2012-04-02T00:00:00"/>
    <d v="2015-06-25T00:00:00"/>
    <x v="12"/>
    <s v="Voluntarily Terminated"/>
    <x v="0"/>
    <x v="4"/>
    <n v="39"/>
    <s v="Diversity Job Fair"/>
    <s v="Needs Improvement"/>
    <n v="3.97"/>
    <n v="4"/>
    <n v="0"/>
    <d v="2015-01-20T00:00:00"/>
    <n v="3"/>
    <n v="15"/>
  </r>
  <r>
    <s v="Girifalco, Evelyn"/>
    <n v="10018"/>
    <n v="0"/>
    <n v="0"/>
    <n v="0"/>
    <n v="1"/>
    <n v="5"/>
    <n v="4"/>
    <n v="0"/>
    <n v="57815"/>
    <n v="0"/>
    <n v="19"/>
    <s v="Production Technician I"/>
    <s v="MA"/>
    <n v="2451"/>
    <d v="1980-05-08T00:00:00"/>
    <s v="F"/>
    <s v="Single"/>
    <s v="US Citizen"/>
    <s v="Yes"/>
    <s v="Two or more races"/>
    <d v="2014-09-29T00:00:00"/>
    <m/>
    <x v="0"/>
    <s v="Active"/>
    <x v="0"/>
    <x v="5"/>
    <n v="11"/>
    <s v="Indeed"/>
    <s v="Exceeds"/>
    <n v="3.9"/>
    <n v="4"/>
    <n v="0"/>
    <d v="2019-02-07T00:00:00"/>
    <n v="0"/>
    <n v="3"/>
  </r>
  <r>
    <s v="Givens, Myriam"/>
    <n v="10255"/>
    <n v="0"/>
    <n v="0"/>
    <n v="0"/>
    <n v="1"/>
    <n v="6"/>
    <n v="3"/>
    <n v="0"/>
    <n v="61555"/>
    <n v="0"/>
    <n v="3"/>
    <s v="Area Sales Manager"/>
    <s v="IN"/>
    <n v="46204"/>
    <d v="1989-09-22T00:00:00"/>
    <s v="F"/>
    <s v="Single"/>
    <s v="US Citizen"/>
    <s v="No"/>
    <s v="White"/>
    <d v="2015-02-16T00:00:00"/>
    <m/>
    <x v="0"/>
    <s v="Active"/>
    <x v="4"/>
    <x v="16"/>
    <n v="21"/>
    <s v="Indeed"/>
    <s v="Fully Meets"/>
    <n v="4.5"/>
    <n v="5"/>
    <n v="0"/>
    <d v="2019-01-25T00:00:00"/>
    <n v="0"/>
    <n v="20"/>
  </r>
  <r>
    <s v="Goble, Taisha"/>
    <n v="10246"/>
    <n v="0"/>
    <n v="0"/>
    <n v="0"/>
    <n v="4"/>
    <n v="3"/>
    <n v="3"/>
    <n v="0"/>
    <n v="114800"/>
    <n v="1"/>
    <n v="8"/>
    <s v="Database Administrator"/>
    <s v="MA"/>
    <n v="2127"/>
    <d v="1971-10-23T00:00:00"/>
    <s v="F"/>
    <s v="Single"/>
    <s v="US Citizen"/>
    <s v="No"/>
    <s v="White"/>
    <d v="2015-02-16T00:00:00"/>
    <d v="2015-03-15T00:00:00"/>
    <x v="13"/>
    <s v="Terminated for Cause"/>
    <x v="1"/>
    <x v="1"/>
    <n v="4"/>
    <s v="Indeed"/>
    <s v="Fully Meets"/>
    <n v="4.5999999999999996"/>
    <n v="4"/>
    <n v="4"/>
    <d v="2015-01-20T00:00:00"/>
    <n v="0"/>
    <n v="10"/>
  </r>
  <r>
    <s v="Goeth, Amon"/>
    <n v="10228"/>
    <n v="1"/>
    <n v="1"/>
    <n v="1"/>
    <n v="1"/>
    <n v="3"/>
    <n v="3"/>
    <n v="0"/>
    <n v="74679"/>
    <n v="0"/>
    <n v="14"/>
    <s v="IT Support"/>
    <s v="MA"/>
    <n v="2135"/>
    <d v="1989-11-24T00:00:00"/>
    <s v="M "/>
    <s v="Married"/>
    <s v="US Citizen"/>
    <s v="Yes"/>
    <s v="White"/>
    <d v="2015-03-30T00:00:00"/>
    <m/>
    <x v="0"/>
    <s v="Active"/>
    <x v="1"/>
    <x v="9"/>
    <n v="7"/>
    <s v="LinkedIn"/>
    <s v="Fully Meets"/>
    <n v="4.3"/>
    <n v="5"/>
    <n v="7"/>
    <d v="2019-01-10T00:00:00"/>
    <n v="0"/>
    <n v="20"/>
  </r>
  <r>
    <s v="Gold, Shenice  "/>
    <n v="10243"/>
    <n v="0"/>
    <n v="0"/>
    <n v="0"/>
    <n v="1"/>
    <n v="5"/>
    <n v="3"/>
    <n v="0"/>
    <n v="53018"/>
    <n v="0"/>
    <n v="19"/>
    <s v="Production Technician I"/>
    <s v="MA"/>
    <n v="2451"/>
    <d v="1992-06-18T00:00:00"/>
    <s v="F"/>
    <s v="Single"/>
    <s v="US Citizen"/>
    <s v="Yes"/>
    <s v="White"/>
    <d v="2013-11-11T00:00:00"/>
    <m/>
    <x v="0"/>
    <s v="Active"/>
    <x v="0"/>
    <x v="7"/>
    <n v="19"/>
    <s v="Indeed"/>
    <s v="Fully Meets"/>
    <n v="4.3"/>
    <n v="5"/>
    <n v="0"/>
    <d v="2019-02-18T00:00:00"/>
    <n v="0"/>
    <n v="7"/>
  </r>
  <r>
    <s v="Gonzalez, Cayo"/>
    <n v="10031"/>
    <n v="0"/>
    <n v="2"/>
    <n v="1"/>
    <n v="1"/>
    <n v="5"/>
    <n v="4"/>
    <n v="1"/>
    <n v="59892"/>
    <n v="0"/>
    <n v="19"/>
    <s v="Production Technician I"/>
    <s v="MA"/>
    <n v="2108"/>
    <d v="1969-09-29T00:00:00"/>
    <s v="M "/>
    <s v="Divorced"/>
    <s v="US Citizen"/>
    <s v="No"/>
    <s v="Black or African American"/>
    <d v="2011-07-11T00:00:00"/>
    <m/>
    <x v="0"/>
    <s v="Active"/>
    <x v="0"/>
    <x v="8"/>
    <n v="12"/>
    <s v="Diversity Job Fair"/>
    <s v="Exceeds"/>
    <n v="4.5"/>
    <n v="4"/>
    <n v="0"/>
    <d v="2019-02-18T00:00:00"/>
    <n v="0"/>
    <n v="1"/>
  </r>
  <r>
    <s v="Gonzalez, Juan"/>
    <n v="10300"/>
    <n v="1"/>
    <n v="1"/>
    <n v="1"/>
    <n v="5"/>
    <n v="5"/>
    <n v="1"/>
    <n v="1"/>
    <n v="68898"/>
    <n v="1"/>
    <n v="20"/>
    <s v="Production Technician II"/>
    <s v="MA"/>
    <n v="2128"/>
    <d v="1964-10-12T00:00:00"/>
    <s v="M "/>
    <s v="Married"/>
    <s v="US Citizen"/>
    <s v="No"/>
    <s v="Black or African American"/>
    <d v="2010-04-26T00:00:00"/>
    <d v="2011-05-30T00:00:00"/>
    <x v="1"/>
    <s v="Voluntarily Terminated"/>
    <x v="0"/>
    <x v="8"/>
    <n v="12"/>
    <s v="Diversity Job Fair"/>
    <s v="PIP"/>
    <n v="3"/>
    <n v="3"/>
    <n v="0"/>
    <d v="2011-03-06T00:00:00"/>
    <n v="3"/>
    <n v="10"/>
  </r>
  <r>
    <s v="Gonzalez, Maria"/>
    <n v="10101"/>
    <n v="0"/>
    <n v="3"/>
    <n v="0"/>
    <n v="1"/>
    <n v="3"/>
    <n v="3"/>
    <n v="0"/>
    <n v="61242"/>
    <n v="0"/>
    <n v="14"/>
    <s v="IT Support"/>
    <s v="MA"/>
    <n v="2472"/>
    <d v="1981-04-16T00:00:00"/>
    <s v="F"/>
    <s v="Separated"/>
    <s v="US Citizen"/>
    <s v="Yes"/>
    <s v="White"/>
    <d v="2015-01-05T00:00:00"/>
    <m/>
    <x v="0"/>
    <s v="Active"/>
    <x v="1"/>
    <x v="9"/>
    <n v="7"/>
    <s v="Employee Referral"/>
    <s v="Fully Meets"/>
    <n v="4.6100000000000003"/>
    <n v="4"/>
    <n v="5"/>
    <d v="2019-01-28T00:00:00"/>
    <n v="0"/>
    <n v="11"/>
  </r>
  <r>
    <s v="Good, Susan"/>
    <n v="10237"/>
    <n v="1"/>
    <n v="1"/>
    <n v="0"/>
    <n v="3"/>
    <n v="5"/>
    <n v="3"/>
    <n v="0"/>
    <n v="66825"/>
    <n v="0"/>
    <n v="20"/>
    <s v="Production Technician II"/>
    <s v="MA"/>
    <n v="1886"/>
    <d v="1986-05-25T00:00:00"/>
    <s v="F"/>
    <s v="Married"/>
    <s v="US Citizen"/>
    <s v="No"/>
    <s v="White"/>
    <d v="2014-05-12T00:00:00"/>
    <m/>
    <x v="0"/>
    <s v="Active"/>
    <x v="0"/>
    <x v="10"/>
    <n v="14"/>
    <s v="LinkedIn"/>
    <s v="Fully Meets"/>
    <n v="4.5999999999999996"/>
    <n v="3"/>
    <n v="0"/>
    <d v="2019-02-07T00:00:00"/>
    <n v="0"/>
    <n v="20"/>
  </r>
  <r>
    <s v="Gordon, David"/>
    <n v="10051"/>
    <n v="1"/>
    <n v="1"/>
    <n v="1"/>
    <n v="1"/>
    <n v="5"/>
    <n v="3"/>
    <n v="0"/>
    <n v="48285"/>
    <n v="0"/>
    <n v="19"/>
    <s v="Production Technician I"/>
    <s v="MA"/>
    <n v="2169"/>
    <d v="1979-05-21T00:00:00"/>
    <s v="M "/>
    <s v="Married"/>
    <s v="US Citizen"/>
    <s v="No"/>
    <s v="White"/>
    <d v="2012-07-02T00:00:00"/>
    <m/>
    <x v="0"/>
    <s v="Active"/>
    <x v="0"/>
    <x v="10"/>
    <n v="14"/>
    <s v="LinkedIn"/>
    <s v="Fully Meets"/>
    <n v="5"/>
    <n v="3"/>
    <n v="0"/>
    <d v="2019-01-14T00:00:00"/>
    <n v="0"/>
    <n v="2"/>
  </r>
  <r>
    <s v="Gosciminski, Phylicia  "/>
    <n v="10218"/>
    <n v="0"/>
    <n v="3"/>
    <n v="0"/>
    <n v="3"/>
    <n v="5"/>
    <n v="3"/>
    <n v="0"/>
    <n v="66149"/>
    <n v="0"/>
    <n v="20"/>
    <s v="Production Technician II"/>
    <s v="MA"/>
    <n v="1824"/>
    <d v="1983-12-08T00:00:00"/>
    <s v="F"/>
    <s v="Separated"/>
    <s v="US Citizen"/>
    <s v="No"/>
    <s v="American Indian or Alaska Native"/>
    <d v="2013-09-30T00:00:00"/>
    <m/>
    <x v="0"/>
    <s v="Active"/>
    <x v="0"/>
    <x v="2"/>
    <n v="20"/>
    <s v="Google Search"/>
    <s v="Fully Meets"/>
    <n v="4.4000000000000004"/>
    <n v="5"/>
    <n v="0"/>
    <d v="2019-02-21T00:00:00"/>
    <n v="0"/>
    <n v="1"/>
  </r>
  <r>
    <s v="Goyal, Roxana"/>
    <n v="10256"/>
    <n v="1"/>
    <n v="1"/>
    <n v="0"/>
    <n v="3"/>
    <n v="5"/>
    <n v="3"/>
    <n v="0"/>
    <n v="49256"/>
    <n v="0"/>
    <n v="19"/>
    <s v="Production Technician I"/>
    <s v="MA"/>
    <n v="1864"/>
    <d v="1974-10-09T00:00:00"/>
    <s v="F"/>
    <s v="Married"/>
    <s v="US Citizen"/>
    <s v="No"/>
    <s v="Asian"/>
    <d v="2013-08-19T00:00:00"/>
    <m/>
    <x v="0"/>
    <s v="Active"/>
    <x v="0"/>
    <x v="2"/>
    <n v="20"/>
    <s v="LinkedIn"/>
    <s v="Fully Meets"/>
    <n v="4.0999999999999996"/>
    <n v="5"/>
    <n v="0"/>
    <d v="2019-02-15T00:00:00"/>
    <n v="0"/>
    <n v="3"/>
  </r>
  <r>
    <s v="Gray, Elijiah  "/>
    <n v="10098"/>
    <n v="0"/>
    <n v="2"/>
    <n v="1"/>
    <n v="1"/>
    <n v="5"/>
    <n v="3"/>
    <n v="0"/>
    <n v="62957"/>
    <n v="0"/>
    <n v="18"/>
    <s v="Production Manager"/>
    <s v="MA"/>
    <n v="1752"/>
    <d v="1981-07-11T00:00:00"/>
    <s v="M "/>
    <s v="Divorced"/>
    <s v="US Citizen"/>
    <s v="No"/>
    <s v="White"/>
    <d v="2015-06-02T00:00:00"/>
    <m/>
    <x v="0"/>
    <s v="Active"/>
    <x v="0"/>
    <x v="13"/>
    <n v="2"/>
    <s v="Employee Referral"/>
    <s v="Fully Meets"/>
    <n v="4.63"/>
    <n v="3"/>
    <n v="0"/>
    <d v="2019-01-04T00:00:00"/>
    <n v="0"/>
    <n v="2"/>
  </r>
  <r>
    <s v="Gross, Paula"/>
    <n v="10059"/>
    <n v="0"/>
    <n v="2"/>
    <n v="0"/>
    <n v="5"/>
    <n v="5"/>
    <n v="3"/>
    <n v="0"/>
    <n v="63813"/>
    <n v="1"/>
    <n v="19"/>
    <s v="Production Technician I"/>
    <s v="MA"/>
    <n v="2176"/>
    <d v="1983-05-21T00:00:00"/>
    <s v="F"/>
    <s v="Divorced"/>
    <s v="US Citizen"/>
    <s v="No"/>
    <s v="White"/>
    <d v="2011-02-21T00:00:00"/>
    <d v="2014-01-11T00:00:00"/>
    <x v="11"/>
    <s v="Voluntarily Terminated"/>
    <x v="0"/>
    <x v="11"/>
    <n v="18"/>
    <s v="CareerBuilder"/>
    <s v="Fully Meets"/>
    <n v="5"/>
    <n v="5"/>
    <n v="0"/>
    <d v="2013-06-03T00:00:00"/>
    <n v="0"/>
    <n v="17"/>
  </r>
  <r>
    <s v="Gruber, Hans"/>
    <n v="10234"/>
    <n v="1"/>
    <n v="1"/>
    <n v="1"/>
    <n v="1"/>
    <n v="3"/>
    <n v="3"/>
    <n v="0"/>
    <n v="99020"/>
    <n v="0"/>
    <n v="4"/>
    <s v="BI Developer"/>
    <s v="MA"/>
    <n v="2134"/>
    <d v="1989-06-30T00:00:00"/>
    <s v="M "/>
    <s v="Married"/>
    <s v="US Citizen"/>
    <s v="No"/>
    <s v="Black or African American"/>
    <d v="2017-04-20T00:00:00"/>
    <m/>
    <x v="0"/>
    <s v="Active"/>
    <x v="1"/>
    <x v="19"/>
    <n v="13"/>
    <s v="Indeed"/>
    <s v="Fully Meets"/>
    <n v="4.2"/>
    <n v="5"/>
    <n v="5"/>
    <d v="2019-01-28T00:00:00"/>
    <n v="0"/>
    <n v="8"/>
  </r>
  <r>
    <s v="Guilianno, Mike"/>
    <n v="10109"/>
    <n v="0"/>
    <n v="0"/>
    <n v="1"/>
    <n v="5"/>
    <n v="6"/>
    <n v="3"/>
    <n v="0"/>
    <n v="71707"/>
    <n v="1"/>
    <n v="3"/>
    <s v="Area Sales Manager"/>
    <s v="TN"/>
    <n v="37129"/>
    <d v="1969-02-09T00:00:00"/>
    <s v="M "/>
    <s v="Single"/>
    <s v="US Citizen"/>
    <s v="No"/>
    <s v="Two or more races"/>
    <d v="2012-03-07T00:00:00"/>
    <d v="2014-10-31T00:00:00"/>
    <x v="10"/>
    <s v="Voluntarily Terminated"/>
    <x v="4"/>
    <x v="14"/>
    <n v="17"/>
    <s v="LinkedIn"/>
    <s v="Fully Meets"/>
    <n v="4.5"/>
    <n v="5"/>
    <n v="0"/>
    <d v="2013-02-01T00:00:00"/>
    <n v="0"/>
    <n v="20"/>
  </r>
  <r>
    <s v="Handschiegl, Joanne"/>
    <n v="10125"/>
    <n v="1"/>
    <n v="1"/>
    <n v="0"/>
    <n v="1"/>
    <n v="5"/>
    <n v="3"/>
    <n v="0"/>
    <n v="54828"/>
    <n v="0"/>
    <n v="19"/>
    <s v="Production Technician I"/>
    <s v="MA"/>
    <n v="2127"/>
    <d v="1977-03-23T00:00:00"/>
    <s v="F"/>
    <s v="Married"/>
    <s v="US Citizen"/>
    <s v="No"/>
    <s v="White"/>
    <d v="2011-11-28T00:00:00"/>
    <m/>
    <x v="0"/>
    <s v="Active"/>
    <x v="0"/>
    <x v="0"/>
    <n v="22"/>
    <s v="Google Search"/>
    <s v="Fully Meets"/>
    <n v="4.2"/>
    <n v="4"/>
    <n v="0"/>
    <d v="2019-02-22T00:00:00"/>
    <n v="0"/>
    <n v="13"/>
  </r>
  <r>
    <s v="Hankard, Earnest"/>
    <n v="10074"/>
    <n v="0"/>
    <n v="0"/>
    <n v="1"/>
    <n v="1"/>
    <n v="5"/>
    <n v="3"/>
    <n v="0"/>
    <n v="64246"/>
    <n v="0"/>
    <n v="20"/>
    <s v="Production Technician II"/>
    <s v="MA"/>
    <n v="2155"/>
    <d v="1988-08-10T00:00:00"/>
    <s v="M "/>
    <s v="Single"/>
    <s v="US Citizen"/>
    <s v="Yes"/>
    <s v="White"/>
    <d v="2013-11-11T00:00:00"/>
    <m/>
    <x v="0"/>
    <s v="Active"/>
    <x v="0"/>
    <x v="11"/>
    <n v="18"/>
    <s v="LinkedIn"/>
    <s v="Fully Meets"/>
    <n v="5"/>
    <n v="3"/>
    <n v="0"/>
    <d v="2019-01-08T00:00:00"/>
    <n v="0"/>
    <n v="20"/>
  </r>
  <r>
    <s v="Harrington, Christie "/>
    <n v="10097"/>
    <n v="0"/>
    <n v="0"/>
    <n v="0"/>
    <n v="5"/>
    <n v="5"/>
    <n v="3"/>
    <n v="0"/>
    <n v="52177"/>
    <n v="1"/>
    <n v="19"/>
    <s v="Production Technician I"/>
    <s v="MA"/>
    <n v="2324"/>
    <d v="1952-08-18T00:00:00"/>
    <s v="F"/>
    <s v="Single"/>
    <s v="US Citizen"/>
    <s v="No"/>
    <s v="White"/>
    <d v="2012-01-09T00:00:00"/>
    <d v="2015-12-15T00:00:00"/>
    <x v="9"/>
    <s v="Voluntarily Terminated"/>
    <x v="0"/>
    <x v="4"/>
    <n v="39"/>
    <s v="CareerBuilder"/>
    <s v="Fully Meets"/>
    <n v="4.6399999999999997"/>
    <n v="4"/>
    <n v="0"/>
    <d v="2015-05-02T00:00:00"/>
    <n v="0"/>
    <n v="8"/>
  </r>
  <r>
    <s v="Harrison, Kara"/>
    <n v="10007"/>
    <n v="1"/>
    <n v="1"/>
    <n v="0"/>
    <n v="1"/>
    <n v="5"/>
    <n v="4"/>
    <n v="0"/>
    <n v="62065"/>
    <n v="0"/>
    <n v="19"/>
    <s v="Production Technician I"/>
    <s v="MA"/>
    <n v="1886"/>
    <d v="1974-05-02T00:00:00"/>
    <s v="F"/>
    <s v="Married"/>
    <s v="US Citizen"/>
    <s v="No"/>
    <s v="White"/>
    <d v="2014-05-12T00:00:00"/>
    <m/>
    <x v="0"/>
    <s v="Active"/>
    <x v="0"/>
    <x v="5"/>
    <n v="11"/>
    <s v="CareerBuilder"/>
    <s v="Exceeds"/>
    <n v="4.76"/>
    <n v="4"/>
    <n v="0"/>
    <d v="2019-02-15T00:00:00"/>
    <n v="0"/>
    <n v="5"/>
  </r>
  <r>
    <s v="Heitzman, Anthony"/>
    <n v="10129"/>
    <n v="0"/>
    <n v="0"/>
    <n v="1"/>
    <n v="1"/>
    <n v="5"/>
    <n v="3"/>
    <n v="0"/>
    <n v="46998"/>
    <n v="0"/>
    <n v="19"/>
    <s v="Production Technician I"/>
    <s v="MA"/>
    <n v="2149"/>
    <d v="1984-01-04T00:00:00"/>
    <s v="M "/>
    <s v="Single"/>
    <s v="US Citizen"/>
    <s v="No"/>
    <s v="White"/>
    <d v="2012-08-13T00:00:00"/>
    <m/>
    <x v="0"/>
    <s v="Active"/>
    <x v="0"/>
    <x v="7"/>
    <n v="19"/>
    <s v="Google Search"/>
    <s v="Fully Meets"/>
    <n v="4.17"/>
    <n v="4"/>
    <n v="0"/>
    <d v="2019-02-11T00:00:00"/>
    <n v="0"/>
    <n v="1"/>
  </r>
  <r>
    <s v="Hendrickson, Trina"/>
    <n v="10075"/>
    <n v="0"/>
    <n v="0"/>
    <n v="0"/>
    <n v="5"/>
    <n v="5"/>
    <n v="3"/>
    <n v="0"/>
    <n v="68099"/>
    <n v="1"/>
    <n v="20"/>
    <s v="Production Technician II"/>
    <s v="MA"/>
    <n v="2021"/>
    <d v="1972-08-27T00:00:00"/>
    <s v="F"/>
    <s v="Single"/>
    <s v="US Citizen"/>
    <s v="No"/>
    <s v="White"/>
    <d v="2011-01-10T00:00:00"/>
    <d v="2013-06-18T00:00:00"/>
    <x v="2"/>
    <s v="Voluntarily Terminated"/>
    <x v="0"/>
    <x v="11"/>
    <n v="18"/>
    <s v="CareerBuilder"/>
    <s v="Fully Meets"/>
    <n v="5"/>
    <n v="3"/>
    <n v="0"/>
    <d v="2013-01-30T00:00:00"/>
    <n v="0"/>
    <n v="15"/>
  </r>
  <r>
    <s v="Hitchcock, Alfred"/>
    <n v="10167"/>
    <n v="1"/>
    <n v="1"/>
    <n v="1"/>
    <n v="1"/>
    <n v="6"/>
    <n v="3"/>
    <n v="0"/>
    <n v="70545"/>
    <n v="0"/>
    <n v="3"/>
    <s v="Area Sales Manager"/>
    <s v="NH"/>
    <n v="3062"/>
    <d v="1988-09-14T00:00:00"/>
    <s v="M "/>
    <s v="Married"/>
    <s v="US Citizen"/>
    <s v="No"/>
    <s v="American Indian or Alaska Native"/>
    <d v="2014-08-18T00:00:00"/>
    <m/>
    <x v="0"/>
    <s v="Active"/>
    <x v="4"/>
    <x v="14"/>
    <n v="17"/>
    <s v="Indeed"/>
    <s v="Fully Meets"/>
    <n v="3.6"/>
    <n v="5"/>
    <n v="0"/>
    <d v="2019-01-30T00:00:00"/>
    <n v="0"/>
    <n v="9"/>
  </r>
  <r>
    <s v="Homberger, Adrienne  J"/>
    <n v="10195"/>
    <n v="1"/>
    <n v="1"/>
    <n v="0"/>
    <n v="5"/>
    <n v="5"/>
    <n v="3"/>
    <n v="0"/>
    <n v="63478"/>
    <n v="1"/>
    <n v="20"/>
    <s v="Production Technician II"/>
    <s v="MA"/>
    <n v="2445"/>
    <d v="1984-02-16T00:00:00"/>
    <s v="F"/>
    <s v="Married"/>
    <s v="Non-Citizen"/>
    <s v="No"/>
    <s v="White"/>
    <d v="2011-08-15T00:00:00"/>
    <d v="2012-04-07T00:00:00"/>
    <x v="10"/>
    <s v="Voluntarily Terminated"/>
    <x v="0"/>
    <x v="0"/>
    <n v="30"/>
    <s v="Indeed"/>
    <s v="Fully Meets"/>
    <n v="3.03"/>
    <n v="5"/>
    <n v="0"/>
    <d v="2012-03-05T00:00:00"/>
    <n v="0"/>
    <n v="16"/>
  </r>
  <r>
    <s v="Horton, Jayne"/>
    <n v="10112"/>
    <n v="0"/>
    <n v="0"/>
    <n v="0"/>
    <n v="1"/>
    <n v="3"/>
    <n v="3"/>
    <n v="0"/>
    <n v="97999"/>
    <n v="0"/>
    <n v="8"/>
    <s v="Database Administrator"/>
    <s v="MA"/>
    <n v="2493"/>
    <d v="1984-02-21T00:00:00"/>
    <s v="F"/>
    <s v="Single"/>
    <s v="US Citizen"/>
    <s v="No"/>
    <s v="White"/>
    <d v="2015-03-30T00:00:00"/>
    <m/>
    <x v="0"/>
    <s v="Active"/>
    <x v="1"/>
    <x v="1"/>
    <n v="4"/>
    <s v="Indeed"/>
    <s v="Fully Meets"/>
    <n v="4.4800000000000004"/>
    <n v="5"/>
    <n v="6"/>
    <d v="2019-01-03T00:00:00"/>
    <n v="0"/>
    <n v="4"/>
  </r>
  <r>
    <s v="Houlihan, Debra"/>
    <n v="10272"/>
    <n v="1"/>
    <n v="1"/>
    <n v="0"/>
    <n v="1"/>
    <n v="6"/>
    <n v="3"/>
    <n v="0"/>
    <n v="180000"/>
    <n v="0"/>
    <n v="11"/>
    <s v="Director of Sales"/>
    <s v="RI"/>
    <n v="2908"/>
    <d v="1966-03-17T00:00:00"/>
    <s v="F"/>
    <s v="Married"/>
    <s v="US Citizen"/>
    <s v="No"/>
    <s v="White"/>
    <d v="2014-05-05T00:00:00"/>
    <m/>
    <x v="0"/>
    <s v="Active"/>
    <x v="4"/>
    <x v="13"/>
    <n v="2"/>
    <s v="LinkedIn"/>
    <s v="Fully Meets"/>
    <n v="4.5"/>
    <n v="4"/>
    <n v="0"/>
    <d v="2019-01-21T00:00:00"/>
    <n v="0"/>
    <n v="19"/>
  </r>
  <r>
    <s v="Howard, Estelle"/>
    <n v="10182"/>
    <n v="1"/>
    <n v="1"/>
    <n v="0"/>
    <n v="1"/>
    <n v="1"/>
    <n v="3"/>
    <n v="0"/>
    <n v="49920"/>
    <n v="1"/>
    <n v="2"/>
    <s v="Administrative Assistant"/>
    <s v="MA"/>
    <n v="2170"/>
    <d v="1985-09-16T00:00:00"/>
    <s v="F"/>
    <s v="Married"/>
    <s v="US Citizen"/>
    <s v="No"/>
    <s v="Black or African American"/>
    <d v="2015-02-16T00:00:00"/>
    <d v="2015-04-15T00:00:00"/>
    <x v="13"/>
    <s v="Terminated for Cause"/>
    <x v="3"/>
    <x v="12"/>
    <n v="1"/>
    <s v="Indeed"/>
    <s v="Fully Meets"/>
    <n v="3.24"/>
    <n v="3"/>
    <n v="4"/>
    <d v="2015-04-15T00:00:00"/>
    <n v="0"/>
    <n v="6"/>
  </r>
  <r>
    <s v="Hudson, Jane"/>
    <n v="10248"/>
    <n v="0"/>
    <n v="0"/>
    <n v="0"/>
    <n v="1"/>
    <n v="5"/>
    <n v="3"/>
    <n v="0"/>
    <n v="55425"/>
    <n v="0"/>
    <n v="19"/>
    <s v="Production Technician I"/>
    <s v="MA"/>
    <n v="2176"/>
    <d v="1986-06-10T00:00:00"/>
    <s v="F"/>
    <s v="Single"/>
    <s v="US Citizen"/>
    <s v="No"/>
    <s v="White"/>
    <d v="2012-02-20T00:00:00"/>
    <m/>
    <x v="0"/>
    <s v="Active"/>
    <x v="0"/>
    <x v="7"/>
    <n v="19"/>
    <s v="LinkedIn"/>
    <s v="Fully Meets"/>
    <n v="4.8"/>
    <n v="4"/>
    <n v="0"/>
    <d v="2019-01-07T00:00:00"/>
    <n v="0"/>
    <n v="4"/>
  </r>
  <r>
    <s v="Hunts, Julissa"/>
    <n v="10201"/>
    <n v="0"/>
    <n v="0"/>
    <n v="0"/>
    <n v="2"/>
    <n v="5"/>
    <n v="3"/>
    <n v="0"/>
    <n v="69340"/>
    <n v="0"/>
    <n v="20"/>
    <s v="Production Technician II"/>
    <s v="MA"/>
    <n v="2021"/>
    <d v="1984-03-11T00:00:00"/>
    <s v="F"/>
    <s v="Single"/>
    <s v="US Citizen"/>
    <s v="No"/>
    <s v="White"/>
    <d v="2016-06-06T00:00:00"/>
    <m/>
    <x v="0"/>
    <s v="Active"/>
    <x v="0"/>
    <x v="3"/>
    <n v="16"/>
    <s v="LinkedIn"/>
    <s v="Fully Meets"/>
    <n v="3"/>
    <n v="5"/>
    <n v="0"/>
    <d v="2019-01-18T00:00:00"/>
    <n v="0"/>
    <n v="4"/>
  </r>
  <r>
    <s v="Hutter, Rosalie"/>
    <n v="10214"/>
    <n v="0"/>
    <n v="3"/>
    <n v="0"/>
    <n v="2"/>
    <n v="5"/>
    <n v="3"/>
    <n v="0"/>
    <n v="64995"/>
    <n v="0"/>
    <n v="20"/>
    <s v="Production Technician II"/>
    <s v="MA"/>
    <n v="2351"/>
    <d v="1992-05-07T00:00:00"/>
    <s v="F"/>
    <s v="Separated"/>
    <s v="US Citizen"/>
    <s v="No"/>
    <s v="White"/>
    <d v="2015-06-05T00:00:00"/>
    <m/>
    <x v="0"/>
    <s v="Active"/>
    <x v="0"/>
    <x v="4"/>
    <m/>
    <s v="Indeed"/>
    <s v="Fully Meets"/>
    <n v="4.5"/>
    <n v="3"/>
    <n v="0"/>
    <d v="2019-02-14T00:00:00"/>
    <n v="0"/>
    <n v="6"/>
  </r>
  <r>
    <s v="Huynh, Ming"/>
    <n v="10160"/>
    <n v="0"/>
    <n v="2"/>
    <n v="0"/>
    <n v="5"/>
    <n v="5"/>
    <n v="3"/>
    <n v="0"/>
    <n v="68182"/>
    <n v="1"/>
    <n v="20"/>
    <s v="Production Technician II"/>
    <s v="MA"/>
    <n v="1742"/>
    <d v="1976-09-22T00:00:00"/>
    <s v="F"/>
    <s v="Divorced"/>
    <s v="US Citizen"/>
    <s v="No"/>
    <s v="White"/>
    <d v="2011-02-21T00:00:00"/>
    <d v="2013-04-01T00:00:00"/>
    <x v="5"/>
    <s v="Voluntarily Terminated"/>
    <x v="0"/>
    <x v="5"/>
    <n v="11"/>
    <s v="Google Search"/>
    <s v="Fully Meets"/>
    <n v="3.72"/>
    <n v="3"/>
    <n v="0"/>
    <d v="2013-02-01T00:00:00"/>
    <n v="0"/>
    <n v="18"/>
  </r>
  <r>
    <s v="Immediato, Walter"/>
    <n v="10289"/>
    <n v="1"/>
    <n v="1"/>
    <n v="1"/>
    <n v="5"/>
    <n v="5"/>
    <n v="2"/>
    <n v="0"/>
    <n v="83082"/>
    <n v="1"/>
    <n v="18"/>
    <s v="Production Manager"/>
    <s v="MA"/>
    <n v="2128"/>
    <d v="1976-11-15T00:00:00"/>
    <s v="M "/>
    <s v="Married"/>
    <s v="US Citizen"/>
    <s v="No"/>
    <s v="Asian"/>
    <d v="2011-02-21T00:00:00"/>
    <d v="2012-09-24T00:00:00"/>
    <x v="5"/>
    <s v="Voluntarily Terminated"/>
    <x v="0"/>
    <x v="13"/>
    <n v="2"/>
    <s v="Indeed"/>
    <s v="Needs Improvement"/>
    <n v="2.34"/>
    <n v="2"/>
    <n v="0"/>
    <d v="2012-04-12T00:00:00"/>
    <n v="3"/>
    <n v="4"/>
  </r>
  <r>
    <s v="Ivey, Rose "/>
    <n v="10139"/>
    <n v="0"/>
    <n v="0"/>
    <n v="0"/>
    <n v="1"/>
    <n v="5"/>
    <n v="3"/>
    <n v="0"/>
    <n v="51908"/>
    <n v="0"/>
    <n v="19"/>
    <s v="Production Technician I"/>
    <s v="MA"/>
    <n v="1775"/>
    <d v="1991-01-28T00:00:00"/>
    <s v="F"/>
    <s v="Single"/>
    <s v="US Citizen"/>
    <s v="No"/>
    <s v="White"/>
    <d v="2013-08-19T00:00:00"/>
    <m/>
    <x v="0"/>
    <s v="Active"/>
    <x v="0"/>
    <x v="8"/>
    <n v="12"/>
    <s v="Indeed"/>
    <s v="Fully Meets"/>
    <n v="3.99"/>
    <n v="3"/>
    <n v="0"/>
    <d v="2019-01-14T00:00:00"/>
    <n v="0"/>
    <n v="14"/>
  </r>
  <r>
    <s v="Jackson, Maryellen"/>
    <n v="10227"/>
    <n v="0"/>
    <n v="0"/>
    <n v="0"/>
    <n v="1"/>
    <n v="5"/>
    <n v="3"/>
    <n v="0"/>
    <n v="61242"/>
    <n v="0"/>
    <n v="19"/>
    <s v="Production Technician I"/>
    <s v="MA"/>
    <n v="2081"/>
    <d v="1972-09-11T00:00:00"/>
    <s v="F"/>
    <s v="Single"/>
    <s v="US Citizen"/>
    <s v="No"/>
    <s v="Black or African American"/>
    <d v="2012-11-05T00:00:00"/>
    <m/>
    <x v="0"/>
    <s v="Active"/>
    <x v="0"/>
    <x v="10"/>
    <n v="14"/>
    <s v="LinkedIn"/>
    <s v="Fully Meets"/>
    <n v="4.0999999999999996"/>
    <n v="3"/>
    <n v="0"/>
    <d v="2019-01-17T00:00:00"/>
    <n v="0"/>
    <n v="7"/>
  </r>
  <r>
    <s v="Jacobi, Hannah  "/>
    <n v="10236"/>
    <n v="0"/>
    <n v="2"/>
    <n v="0"/>
    <n v="1"/>
    <n v="5"/>
    <n v="3"/>
    <n v="0"/>
    <n v="45069"/>
    <n v="0"/>
    <n v="19"/>
    <s v="Production Technician I"/>
    <s v="MA"/>
    <n v="1778"/>
    <d v="1966-03-22T00:00:00"/>
    <s v="F"/>
    <s v="Divorced"/>
    <s v="US Citizen"/>
    <s v="No"/>
    <s v="White"/>
    <d v="2013-09-30T00:00:00"/>
    <m/>
    <x v="0"/>
    <s v="Active"/>
    <x v="0"/>
    <x v="2"/>
    <n v="20"/>
    <s v="Employee Referral"/>
    <s v="Fully Meets"/>
    <n v="4.3"/>
    <n v="5"/>
    <n v="0"/>
    <d v="2019-02-22T00:00:00"/>
    <n v="0"/>
    <n v="7"/>
  </r>
  <r>
    <s v="Jeannite, Tayana"/>
    <n v="10009"/>
    <n v="0"/>
    <n v="2"/>
    <n v="0"/>
    <n v="1"/>
    <n v="5"/>
    <n v="4"/>
    <n v="0"/>
    <n v="60724"/>
    <n v="0"/>
    <n v="20"/>
    <s v="Production Technician II"/>
    <s v="MA"/>
    <n v="1821"/>
    <d v="1986-11-06T00:00:00"/>
    <s v="F"/>
    <s v="Divorced"/>
    <s v="US Citizen"/>
    <s v="No"/>
    <s v="American Indian or Alaska Native"/>
    <d v="2011-07-05T00:00:00"/>
    <m/>
    <x v="0"/>
    <s v="Active"/>
    <x v="0"/>
    <x v="7"/>
    <n v="19"/>
    <s v="LinkedIn"/>
    <s v="Exceeds"/>
    <n v="4.5999999999999996"/>
    <n v="4"/>
    <n v="0"/>
    <d v="2019-02-25T00:00:00"/>
    <n v="0"/>
    <n v="11"/>
  </r>
  <r>
    <s v="Jhaveri, Sneha  "/>
    <n v="10060"/>
    <n v="0"/>
    <n v="3"/>
    <n v="0"/>
    <n v="1"/>
    <n v="5"/>
    <n v="3"/>
    <n v="0"/>
    <n v="60436"/>
    <n v="0"/>
    <n v="19"/>
    <s v="Production Technician I"/>
    <s v="MA"/>
    <n v="2109"/>
    <d v="1964-04-13T00:00:00"/>
    <s v="F"/>
    <s v="Separated"/>
    <s v="US Citizen"/>
    <s v="No"/>
    <s v="White"/>
    <d v="2014-01-06T00:00:00"/>
    <m/>
    <x v="0"/>
    <s v="Active"/>
    <x v="0"/>
    <x v="11"/>
    <n v="18"/>
    <s v="LinkedIn"/>
    <s v="Fully Meets"/>
    <n v="5"/>
    <n v="5"/>
    <n v="0"/>
    <d v="2019-01-21T00:00:00"/>
    <n v="0"/>
    <n v="9"/>
  </r>
  <r>
    <s v="Johnson, George"/>
    <n v="10034"/>
    <n v="1"/>
    <n v="1"/>
    <n v="1"/>
    <n v="5"/>
    <n v="5"/>
    <n v="4"/>
    <n v="0"/>
    <n v="46837"/>
    <n v="1"/>
    <n v="19"/>
    <s v="Production Technician I"/>
    <s v="MA"/>
    <n v="2445"/>
    <d v="1959-08-19T00:00:00"/>
    <s v="M "/>
    <s v="Married"/>
    <s v="US Citizen"/>
    <s v="No"/>
    <s v="White"/>
    <d v="2011-11-07T00:00:00"/>
    <d v="2018-04-29T00:00:00"/>
    <x v="11"/>
    <s v="Voluntarily Terminated"/>
    <x v="0"/>
    <x v="0"/>
    <n v="22"/>
    <s v="CareerBuilder"/>
    <s v="Exceeds"/>
    <n v="4.7"/>
    <n v="4"/>
    <n v="0"/>
    <d v="2018-02-14T00:00:00"/>
    <n v="0"/>
    <n v="9"/>
  </r>
  <r>
    <s v="Johnson, Noelle "/>
    <n v="10156"/>
    <n v="1"/>
    <n v="1"/>
    <n v="0"/>
    <n v="3"/>
    <n v="3"/>
    <n v="3"/>
    <n v="0"/>
    <n v="105700"/>
    <n v="0"/>
    <n v="8"/>
    <s v="Database Administrator"/>
    <s v="MA"/>
    <n v="2301"/>
    <d v="1986-11-07T00:00:00"/>
    <s v="F"/>
    <s v="Married"/>
    <s v="US Citizen"/>
    <s v="No"/>
    <s v="Asian"/>
    <d v="2015-01-05T00:00:00"/>
    <m/>
    <x v="0"/>
    <s v="Active"/>
    <x v="1"/>
    <x v="1"/>
    <n v="4"/>
    <s v="Indeed"/>
    <s v="Fully Meets"/>
    <n v="3.75"/>
    <n v="3"/>
    <n v="5"/>
    <d v="2019-02-11T00:00:00"/>
    <n v="0"/>
    <n v="2"/>
  </r>
  <r>
    <s v="Johnston, Yen"/>
    <n v="10036"/>
    <n v="0"/>
    <n v="0"/>
    <n v="0"/>
    <n v="1"/>
    <n v="5"/>
    <n v="4"/>
    <n v="0"/>
    <n v="63322"/>
    <n v="0"/>
    <n v="20"/>
    <s v="Production Technician II"/>
    <s v="MA"/>
    <n v="2128"/>
    <d v="1969-09-08T00:00:00"/>
    <s v="F"/>
    <s v="Single"/>
    <s v="US Citizen"/>
    <s v="No"/>
    <s v="White"/>
    <d v="2014-07-07T00:00:00"/>
    <m/>
    <x v="0"/>
    <s v="Active"/>
    <x v="0"/>
    <x v="8"/>
    <n v="12"/>
    <s v="LinkedIn"/>
    <s v="Exceeds"/>
    <n v="4.3"/>
    <n v="3"/>
    <n v="0"/>
    <d v="2019-01-11T00:00:00"/>
    <n v="0"/>
    <n v="1"/>
  </r>
  <r>
    <s v="Jung, Judy  "/>
    <n v="10138"/>
    <n v="1"/>
    <n v="1"/>
    <n v="0"/>
    <n v="5"/>
    <n v="5"/>
    <n v="3"/>
    <n v="0"/>
    <n v="61154"/>
    <n v="1"/>
    <n v="19"/>
    <s v="Production Technician I"/>
    <s v="MA"/>
    <n v="2446"/>
    <d v="1986-04-17T00:00:00"/>
    <s v="F"/>
    <s v="Married"/>
    <s v="US Citizen"/>
    <s v="No"/>
    <s v="Black or African American"/>
    <d v="2011-01-10T00:00:00"/>
    <d v="2016-04-01T00:00:00"/>
    <x v="5"/>
    <s v="Voluntarily Terminated"/>
    <x v="0"/>
    <x v="3"/>
    <n v="16"/>
    <s v="CareerBuilder"/>
    <s v="Fully Meets"/>
    <n v="4"/>
    <n v="4"/>
    <n v="0"/>
    <d v="2016-02-03T00:00:00"/>
    <n v="0"/>
    <n v="4"/>
  </r>
  <r>
    <s v="Kampew, Donysha"/>
    <n v="10244"/>
    <n v="0"/>
    <n v="0"/>
    <n v="0"/>
    <n v="5"/>
    <n v="6"/>
    <n v="3"/>
    <n v="0"/>
    <n v="68999"/>
    <n v="1"/>
    <n v="21"/>
    <s v="Sales Manager"/>
    <s v="PA"/>
    <n v="19444"/>
    <d v="1989-11-11T00:00:00"/>
    <s v="F"/>
    <s v="Single"/>
    <s v="US Citizen"/>
    <s v="No"/>
    <s v="White"/>
    <d v="2011-11-07T00:00:00"/>
    <d v="2014-04-24T00:00:00"/>
    <x v="15"/>
    <s v="Voluntarily Terminated"/>
    <x v="4"/>
    <x v="18"/>
    <n v="15"/>
    <s v="Google Search"/>
    <s v="Fully Meets"/>
    <n v="4.5"/>
    <n v="5"/>
    <n v="0"/>
    <d v="2013-03-30T00:00:00"/>
    <n v="0"/>
    <n v="2"/>
  </r>
  <r>
    <s v="Keatts, Kramer "/>
    <n v="10192"/>
    <n v="0"/>
    <n v="0"/>
    <n v="1"/>
    <n v="1"/>
    <n v="5"/>
    <n v="3"/>
    <n v="0"/>
    <n v="50482"/>
    <n v="0"/>
    <n v="19"/>
    <s v="Production Technician I"/>
    <s v="MA"/>
    <n v="1887"/>
    <d v="1976-01-19T00:00:00"/>
    <s v="M "/>
    <s v="Single"/>
    <s v="US Citizen"/>
    <s v="No"/>
    <s v="White"/>
    <d v="2013-09-30T00:00:00"/>
    <m/>
    <x v="0"/>
    <s v="Active"/>
    <x v="0"/>
    <x v="0"/>
    <n v="22"/>
    <s v="Indeed"/>
    <s v="Fully Meets"/>
    <n v="3.07"/>
    <n v="4"/>
    <n v="0"/>
    <d v="2019-01-23T00:00:00"/>
    <n v="0"/>
    <n v="10"/>
  </r>
  <r>
    <s v="Khemmich, Bartholemew"/>
    <n v="10231"/>
    <n v="0"/>
    <n v="0"/>
    <n v="1"/>
    <n v="1"/>
    <n v="6"/>
    <n v="3"/>
    <n v="0"/>
    <n v="65310"/>
    <n v="0"/>
    <n v="3"/>
    <s v="Area Sales Manager"/>
    <s v="CO"/>
    <n v="80820"/>
    <d v="1979-11-27T00:00:00"/>
    <s v="M "/>
    <s v="Single"/>
    <s v="US Citizen"/>
    <s v="No"/>
    <s v="White"/>
    <d v="2013-08-19T00:00:00"/>
    <m/>
    <x v="0"/>
    <s v="Active"/>
    <x v="4"/>
    <x v="16"/>
    <n v="21"/>
    <s v="Indeed"/>
    <s v="Fully Meets"/>
    <n v="4.3"/>
    <n v="5"/>
    <n v="0"/>
    <d v="2019-01-22T00:00:00"/>
    <n v="0"/>
    <n v="13"/>
  </r>
  <r>
    <s v="King, Janet"/>
    <n v="10089"/>
    <n v="1"/>
    <n v="1"/>
    <n v="0"/>
    <n v="1"/>
    <n v="2"/>
    <n v="3"/>
    <n v="0"/>
    <n v="250000"/>
    <n v="0"/>
    <n v="16"/>
    <s v="President &amp; CEO"/>
    <s v="MA"/>
    <n v="1902"/>
    <d v="1954-09-21T00:00:00"/>
    <s v="F"/>
    <s v="Married"/>
    <s v="US Citizen"/>
    <s v="Yes"/>
    <s v="White"/>
    <d v="2012-07-02T00:00:00"/>
    <m/>
    <x v="0"/>
    <s v="Active"/>
    <x v="5"/>
    <x v="20"/>
    <n v="9"/>
    <s v="Indeed"/>
    <s v="Fully Meets"/>
    <n v="4.83"/>
    <n v="3"/>
    <n v="0"/>
    <d v="2019-01-17T00:00:00"/>
    <n v="0"/>
    <n v="10"/>
  </r>
  <r>
    <s v="Kinsella, Kathleen  "/>
    <n v="10166"/>
    <n v="1"/>
    <n v="1"/>
    <n v="0"/>
    <n v="5"/>
    <n v="5"/>
    <n v="3"/>
    <n v="0"/>
    <n v="54005"/>
    <n v="1"/>
    <n v="19"/>
    <s v="Production Technician I"/>
    <s v="MA"/>
    <n v="2170"/>
    <d v="1973-12-08T00:00:00"/>
    <s v="F"/>
    <s v="Married"/>
    <s v="US Citizen"/>
    <s v="No"/>
    <s v="White"/>
    <d v="2011-09-26T00:00:00"/>
    <d v="2015-06-04T00:00:00"/>
    <x v="11"/>
    <s v="Voluntarily Terminated"/>
    <x v="0"/>
    <x v="4"/>
    <n v="39"/>
    <s v="Google Search"/>
    <s v="Fully Meets"/>
    <n v="3.6"/>
    <n v="5"/>
    <n v="0"/>
    <d v="2015-03-01T00:00:00"/>
    <n v="0"/>
    <n v="16"/>
  </r>
  <r>
    <s v="Kirill, Alexandra  "/>
    <n v="10170"/>
    <n v="1"/>
    <n v="1"/>
    <n v="0"/>
    <n v="5"/>
    <n v="5"/>
    <n v="3"/>
    <n v="0"/>
    <n v="45433"/>
    <n v="1"/>
    <n v="19"/>
    <s v="Production Technician I"/>
    <s v="MA"/>
    <n v="2127"/>
    <d v="1970-10-08T00:00:00"/>
    <s v="F"/>
    <s v="Married"/>
    <s v="US Citizen"/>
    <s v="No"/>
    <s v="White"/>
    <d v="2011-09-26T00:00:00"/>
    <d v="2014-01-09T00:00:00"/>
    <x v="11"/>
    <s v="Voluntarily Terminated"/>
    <x v="0"/>
    <x v="5"/>
    <n v="11"/>
    <s v="Google Search"/>
    <s v="Fully Meets"/>
    <n v="3.49"/>
    <n v="4"/>
    <n v="0"/>
    <d v="2013-01-30T00:00:00"/>
    <n v="0"/>
    <n v="6"/>
  </r>
  <r>
    <s v="Knapp, Bradley  J"/>
    <n v="10208"/>
    <n v="0"/>
    <n v="0"/>
    <n v="1"/>
    <n v="1"/>
    <n v="5"/>
    <n v="3"/>
    <n v="0"/>
    <n v="46654"/>
    <n v="0"/>
    <n v="19"/>
    <s v="Production Technician I"/>
    <s v="MA"/>
    <n v="1721"/>
    <d v="1977-11-10T00:00:00"/>
    <s v="M "/>
    <s v="Single"/>
    <s v="US Citizen"/>
    <s v="No"/>
    <s v="Black or African American"/>
    <d v="2014-02-17T00:00:00"/>
    <m/>
    <x v="0"/>
    <s v="Active"/>
    <x v="0"/>
    <x v="7"/>
    <n v="19"/>
    <s v="LinkedIn"/>
    <s v="Fully Meets"/>
    <n v="3.1"/>
    <n v="3"/>
    <n v="0"/>
    <d v="2019-02-06T00:00:00"/>
    <n v="0"/>
    <n v="3"/>
  </r>
  <r>
    <s v="Kretschmer, John"/>
    <n v="10176"/>
    <n v="1"/>
    <n v="1"/>
    <n v="1"/>
    <n v="1"/>
    <n v="5"/>
    <n v="3"/>
    <n v="0"/>
    <n v="63973"/>
    <n v="0"/>
    <n v="19"/>
    <s v="Production Technician I"/>
    <s v="MA"/>
    <n v="1801"/>
    <d v="1980-02-02T00:00:00"/>
    <s v="M "/>
    <s v="Married"/>
    <s v="US Citizen"/>
    <s v="No"/>
    <s v="Asian"/>
    <d v="2011-01-10T00:00:00"/>
    <m/>
    <x v="0"/>
    <s v="Active"/>
    <x v="0"/>
    <x v="8"/>
    <n v="12"/>
    <s v="Indeed"/>
    <s v="Fully Meets"/>
    <n v="3.38"/>
    <n v="3"/>
    <n v="0"/>
    <d v="2019-01-21T00:00:00"/>
    <n v="0"/>
    <n v="17"/>
  </r>
  <r>
    <s v="Kreuger, Freddy"/>
    <n v="10165"/>
    <n v="0"/>
    <n v="0"/>
    <n v="1"/>
    <n v="1"/>
    <n v="6"/>
    <n v="3"/>
    <n v="1"/>
    <n v="71339"/>
    <n v="0"/>
    <n v="3"/>
    <s v="Area Sales Manager"/>
    <s v="NY"/>
    <n v="10171"/>
    <d v="1969-02-24T00:00:00"/>
    <s v="M "/>
    <s v="Single"/>
    <s v="US Citizen"/>
    <s v="Yes"/>
    <s v="Black or African American"/>
    <d v="2011-03-07T00:00:00"/>
    <m/>
    <x v="0"/>
    <s v="Active"/>
    <x v="4"/>
    <x v="14"/>
    <n v="17"/>
    <s v="Diversity Job Fair"/>
    <s v="Fully Meets"/>
    <n v="3.65"/>
    <n v="5"/>
    <n v="0"/>
    <d v="2019-01-17T00:00:00"/>
    <n v="0"/>
    <n v="20"/>
  </r>
  <r>
    <s v="Lajiri,  Jyoti"/>
    <n v="10113"/>
    <n v="1"/>
    <n v="1"/>
    <n v="1"/>
    <n v="3"/>
    <n v="3"/>
    <n v="3"/>
    <n v="0"/>
    <n v="93206"/>
    <n v="0"/>
    <n v="28"/>
    <s v="Sr. Network Engineer"/>
    <s v="MA"/>
    <n v="2169"/>
    <d v="1986-04-23T00:00:00"/>
    <s v="M "/>
    <s v="Married"/>
    <s v="US Citizen"/>
    <s v="No"/>
    <s v="White"/>
    <d v="2014-11-10T00:00:00"/>
    <m/>
    <x v="0"/>
    <s v="Active"/>
    <x v="1"/>
    <x v="9"/>
    <n v="7"/>
    <s v="Employee Referral"/>
    <s v="Fully Meets"/>
    <n v="4.46"/>
    <n v="5"/>
    <n v="6"/>
    <d v="2019-01-07T00:00:00"/>
    <n v="0"/>
    <n v="7"/>
  </r>
  <r>
    <s v="Landa, Hans"/>
    <n v="10092"/>
    <n v="1"/>
    <n v="1"/>
    <n v="1"/>
    <n v="4"/>
    <n v="5"/>
    <n v="3"/>
    <n v="0"/>
    <n v="82758"/>
    <n v="1"/>
    <n v="18"/>
    <s v="Production Manager"/>
    <s v="MA"/>
    <n v="1890"/>
    <d v="1972-07-01T00:00:00"/>
    <s v="M "/>
    <s v="Married"/>
    <s v="US Citizen"/>
    <s v="No"/>
    <s v="White"/>
    <d v="2011-01-10T00:00:00"/>
    <d v="2015-12-12T00:00:00"/>
    <x v="6"/>
    <s v="Terminated for Cause"/>
    <x v="0"/>
    <x v="13"/>
    <n v="2"/>
    <s v="Employee Referral"/>
    <s v="Fully Meets"/>
    <n v="4.78"/>
    <n v="4"/>
    <n v="0"/>
    <d v="2015-02-15T00:00:00"/>
    <n v="0"/>
    <n v="9"/>
  </r>
  <r>
    <s v="Langford, Lindsey"/>
    <n v="10106"/>
    <n v="0"/>
    <n v="2"/>
    <n v="0"/>
    <n v="5"/>
    <n v="5"/>
    <n v="3"/>
    <n v="0"/>
    <n v="66074"/>
    <n v="1"/>
    <n v="20"/>
    <s v="Production Technician II"/>
    <s v="MA"/>
    <n v="2090"/>
    <d v="1979-07-25T00:00:00"/>
    <s v="F"/>
    <s v="Divorced"/>
    <s v="US Citizen"/>
    <s v="No"/>
    <s v="Asian"/>
    <d v="2013-01-07T00:00:00"/>
    <d v="2014-03-31T00:00:00"/>
    <x v="4"/>
    <s v="Voluntarily Terminated"/>
    <x v="0"/>
    <x v="10"/>
    <n v="14"/>
    <s v="Indeed"/>
    <s v="Fully Meets"/>
    <n v="4.5199999999999996"/>
    <n v="3"/>
    <n v="0"/>
    <d v="2014-02-20T00:00:00"/>
    <n v="0"/>
    <n v="20"/>
  </r>
  <r>
    <s v="Langton, Enrico"/>
    <n v="10052"/>
    <n v="1"/>
    <n v="1"/>
    <n v="1"/>
    <n v="1"/>
    <n v="5"/>
    <n v="3"/>
    <n v="0"/>
    <n v="46120"/>
    <n v="0"/>
    <n v="19"/>
    <s v="Production Technician I"/>
    <s v="MA"/>
    <n v="2048"/>
    <d v="1986-12-09T00:00:00"/>
    <s v="M "/>
    <s v="Married"/>
    <s v="US Citizen"/>
    <s v="No"/>
    <s v="White"/>
    <d v="2012-07-09T00:00:00"/>
    <m/>
    <x v="0"/>
    <s v="Active"/>
    <x v="0"/>
    <x v="10"/>
    <n v="14"/>
    <s v="LinkedIn"/>
    <s v="Fully Meets"/>
    <n v="5"/>
    <n v="5"/>
    <n v="0"/>
    <d v="2019-02-04T00:00:00"/>
    <n v="0"/>
    <n v="13"/>
  </r>
  <r>
    <s v="LaRotonda, William  "/>
    <n v="10038"/>
    <n v="0"/>
    <n v="2"/>
    <n v="1"/>
    <n v="1"/>
    <n v="1"/>
    <n v="3"/>
    <n v="0"/>
    <n v="64520"/>
    <n v="0"/>
    <n v="1"/>
    <s v="Accountant I"/>
    <s v="MA"/>
    <n v="1460"/>
    <d v="1984-04-26T00:00:00"/>
    <s v="M "/>
    <s v="Divorced"/>
    <s v="US Citizen"/>
    <s v="No"/>
    <s v="Black or African American"/>
    <d v="2014-01-06T00:00:00"/>
    <m/>
    <x v="0"/>
    <s v="Active"/>
    <x v="3"/>
    <x v="12"/>
    <n v="1"/>
    <s v="Website"/>
    <s v="Fully Meets"/>
    <n v="5"/>
    <n v="4"/>
    <n v="4"/>
    <d v="2019-01-17T00:00:00"/>
    <n v="0"/>
    <n v="3"/>
  </r>
  <r>
    <s v="Latif, Mohammed"/>
    <n v="10249"/>
    <n v="1"/>
    <n v="1"/>
    <n v="1"/>
    <n v="5"/>
    <n v="5"/>
    <n v="3"/>
    <n v="0"/>
    <n v="61962"/>
    <n v="1"/>
    <n v="20"/>
    <s v="Production Technician II"/>
    <s v="MA"/>
    <n v="2126"/>
    <d v="1984-05-09T00:00:00"/>
    <s v="M "/>
    <s v="Married"/>
    <s v="US Citizen"/>
    <s v="No"/>
    <s v="White"/>
    <d v="2012-04-02T00:00:00"/>
    <d v="2013-04-15T00:00:00"/>
    <x v="11"/>
    <s v="Voluntarily Terminated"/>
    <x v="0"/>
    <x v="2"/>
    <n v="20"/>
    <s v="Google Search"/>
    <s v="Fully Meets"/>
    <n v="4.9000000000000004"/>
    <n v="3"/>
    <n v="0"/>
    <d v="2013-02-20T00:00:00"/>
    <n v="0"/>
    <n v="20"/>
  </r>
  <r>
    <s v="Le, Binh"/>
    <n v="10232"/>
    <n v="0"/>
    <n v="0"/>
    <n v="0"/>
    <n v="1"/>
    <n v="3"/>
    <n v="3"/>
    <n v="0"/>
    <n v="81584"/>
    <n v="0"/>
    <n v="22"/>
    <s v="Senior BI Developer"/>
    <s v="MA"/>
    <n v="1886"/>
    <d v="1987-06-14T00:00:00"/>
    <s v="F"/>
    <s v="Single"/>
    <s v="US Citizen"/>
    <s v="No"/>
    <s v="Asian"/>
    <d v="2016-10-02T00:00:00"/>
    <m/>
    <x v="0"/>
    <s v="Active"/>
    <x v="1"/>
    <x v="19"/>
    <n v="13"/>
    <s v="Indeed"/>
    <s v="Fully Meets"/>
    <n v="4.0999999999999996"/>
    <n v="5"/>
    <n v="7"/>
    <d v="2019-01-08T00:00:00"/>
    <n v="0"/>
    <n v="2"/>
  </r>
  <r>
    <s v="Leach, Dallas"/>
    <n v="10087"/>
    <n v="0"/>
    <n v="0"/>
    <n v="0"/>
    <n v="5"/>
    <n v="5"/>
    <n v="3"/>
    <n v="0"/>
    <n v="63676"/>
    <n v="1"/>
    <n v="19"/>
    <s v="Production Technician I"/>
    <s v="MA"/>
    <n v="1810"/>
    <d v="1979-01-17T00:00:00"/>
    <s v="F"/>
    <s v="Single"/>
    <s v="US Citizen"/>
    <s v="No"/>
    <s v="Asian"/>
    <d v="2011-09-26T00:00:00"/>
    <d v="2018-08-19T00:00:00"/>
    <x v="3"/>
    <s v="Voluntarily Terminated"/>
    <x v="0"/>
    <x v="2"/>
    <n v="20"/>
    <s v="CareerBuilder"/>
    <s v="Fully Meets"/>
    <n v="4.88"/>
    <n v="3"/>
    <n v="0"/>
    <d v="2017-07-02T00:00:00"/>
    <n v="0"/>
    <n v="17"/>
  </r>
  <r>
    <s v="LeBlanc, Brandon  R"/>
    <n v="10134"/>
    <n v="1"/>
    <n v="1"/>
    <n v="1"/>
    <n v="1"/>
    <n v="1"/>
    <n v="3"/>
    <n v="0"/>
    <n v="93046"/>
    <n v="0"/>
    <n v="23"/>
    <s v="Shared Services Manager"/>
    <s v="MA"/>
    <n v="1460"/>
    <d v="1984-06-10T00:00:00"/>
    <s v="M "/>
    <s v="Married"/>
    <s v="US Citizen"/>
    <s v="No"/>
    <s v="White"/>
    <d v="2016-01-05T00:00:00"/>
    <m/>
    <x v="0"/>
    <s v="Active"/>
    <x v="3"/>
    <x v="13"/>
    <n v="2"/>
    <s v="CareerBuilder"/>
    <s v="Fully Meets"/>
    <n v="4.0999999999999996"/>
    <n v="4"/>
    <n v="0"/>
    <d v="2019-01-28T00:00:00"/>
    <n v="0"/>
    <n v="20"/>
  </r>
  <r>
    <s v="Lecter, Hannibal"/>
    <n v="10251"/>
    <n v="1"/>
    <n v="1"/>
    <n v="1"/>
    <n v="1"/>
    <n v="5"/>
    <n v="3"/>
    <n v="0"/>
    <n v="64738"/>
    <n v="0"/>
    <n v="19"/>
    <s v="Production Technician I"/>
    <s v="MA"/>
    <n v="1776"/>
    <d v="1982-09-02T00:00:00"/>
    <s v="M "/>
    <s v="Married"/>
    <s v="US Citizen"/>
    <s v="No"/>
    <s v="Asian"/>
    <d v="2012-05-14T00:00:00"/>
    <m/>
    <x v="0"/>
    <s v="Active"/>
    <x v="0"/>
    <x v="3"/>
    <n v="16"/>
    <s v="Google Search"/>
    <s v="Fully Meets"/>
    <n v="4.0999999999999996"/>
    <n v="3"/>
    <n v="0"/>
    <d v="2019-02-22T00:00:00"/>
    <n v="0"/>
    <n v="10"/>
  </r>
  <r>
    <s v="Leruth, Giovanni"/>
    <n v="10103"/>
    <n v="0"/>
    <n v="3"/>
    <n v="1"/>
    <n v="1"/>
    <n v="6"/>
    <n v="3"/>
    <n v="0"/>
    <n v="70468"/>
    <n v="0"/>
    <n v="3"/>
    <s v="Area Sales Manager"/>
    <s v="UT"/>
    <n v="84111"/>
    <d v="1988-12-27T00:00:00"/>
    <s v="M "/>
    <s v="Separated"/>
    <s v="US Citizen"/>
    <s v="No"/>
    <s v="Black or African American"/>
    <d v="2012-04-30T00:00:00"/>
    <m/>
    <x v="0"/>
    <s v="Active"/>
    <x v="4"/>
    <x v="14"/>
    <n v="17"/>
    <s v="Website"/>
    <s v="Fully Meets"/>
    <n v="4.53"/>
    <n v="3"/>
    <n v="0"/>
    <d v="2019-01-29T00:00:00"/>
    <n v="0"/>
    <n v="16"/>
  </r>
  <r>
    <s v="Liebig, Ketsia"/>
    <n v="10017"/>
    <n v="1"/>
    <n v="1"/>
    <n v="0"/>
    <n v="1"/>
    <n v="5"/>
    <n v="4"/>
    <n v="0"/>
    <n v="77915"/>
    <n v="0"/>
    <n v="18"/>
    <s v="Production Manager"/>
    <s v="MA"/>
    <n v="2110"/>
    <d v="1981-10-26T00:00:00"/>
    <s v="F"/>
    <s v="Married"/>
    <s v="US Citizen"/>
    <s v="No"/>
    <s v="White"/>
    <d v="2013-09-30T00:00:00"/>
    <m/>
    <x v="0"/>
    <s v="Active"/>
    <x v="0"/>
    <x v="13"/>
    <n v="2"/>
    <s v="Website"/>
    <s v="Exceeds"/>
    <n v="4.0999999999999996"/>
    <n v="3"/>
    <n v="0"/>
    <d v="2019-01-21T00:00:00"/>
    <n v="0"/>
    <n v="11"/>
  </r>
  <r>
    <s v="Linares, Marilyn "/>
    <n v="10186"/>
    <n v="1"/>
    <n v="1"/>
    <n v="0"/>
    <n v="5"/>
    <n v="5"/>
    <n v="3"/>
    <n v="0"/>
    <n v="52624"/>
    <n v="1"/>
    <n v="19"/>
    <s v="Production Technician I"/>
    <s v="MA"/>
    <n v="1886"/>
    <d v="1981-03-26T00:00:00"/>
    <s v="F"/>
    <s v="Married"/>
    <s v="US Citizen"/>
    <s v="No"/>
    <s v="White"/>
    <d v="2011-07-05T00:00:00"/>
    <d v="2018-09-26T00:00:00"/>
    <x v="5"/>
    <s v="Voluntarily Terminated"/>
    <x v="0"/>
    <x v="0"/>
    <n v="22"/>
    <s v="Indeed"/>
    <s v="Fully Meets"/>
    <n v="3.18"/>
    <n v="4"/>
    <n v="0"/>
    <d v="2018-03-02T00:00:00"/>
    <n v="0"/>
    <n v="16"/>
  </r>
  <r>
    <s v="Linden, Mathew"/>
    <n v="10137"/>
    <n v="1"/>
    <n v="1"/>
    <n v="1"/>
    <n v="3"/>
    <n v="5"/>
    <n v="3"/>
    <n v="0"/>
    <n v="63450"/>
    <n v="0"/>
    <n v="20"/>
    <s v="Production Technician II"/>
    <s v="MA"/>
    <n v="1770"/>
    <d v="1979-03-19T00:00:00"/>
    <s v="M "/>
    <s v="Married"/>
    <s v="US Citizen"/>
    <s v="No"/>
    <s v="White"/>
    <d v="2013-07-08T00:00:00"/>
    <m/>
    <x v="0"/>
    <s v="Active"/>
    <x v="0"/>
    <x v="11"/>
    <n v="18"/>
    <s v="LinkedIn"/>
    <s v="Fully Meets"/>
    <n v="4"/>
    <n v="3"/>
    <n v="0"/>
    <d v="2019-02-18T00:00:00"/>
    <n v="0"/>
    <n v="7"/>
  </r>
  <r>
    <s v="Lindsay, Leonara "/>
    <n v="10008"/>
    <n v="0"/>
    <n v="0"/>
    <n v="0"/>
    <n v="1"/>
    <n v="3"/>
    <n v="4"/>
    <n v="1"/>
    <n v="51777"/>
    <n v="0"/>
    <n v="14"/>
    <s v="IT Support"/>
    <s v="CT"/>
    <n v="6070"/>
    <d v="1988-10-05T00:00:00"/>
    <s v="F"/>
    <s v="Single"/>
    <s v="US Citizen"/>
    <s v="Yes"/>
    <s v="Black or African American"/>
    <d v="2011-01-21T00:00:00"/>
    <m/>
    <x v="0"/>
    <s v="Active"/>
    <x v="1"/>
    <x v="17"/>
    <n v="6"/>
    <s v="Diversity Job Fair"/>
    <s v="Exceeds"/>
    <n v="4.6399999999999997"/>
    <n v="4"/>
    <n v="5"/>
    <d v="2019-01-25T00:00:00"/>
    <n v="0"/>
    <n v="14"/>
  </r>
  <r>
    <s v="Lundy, Susan"/>
    <n v="10096"/>
    <n v="0"/>
    <n v="4"/>
    <n v="0"/>
    <n v="5"/>
    <n v="5"/>
    <n v="3"/>
    <n v="0"/>
    <n v="67237"/>
    <n v="1"/>
    <n v="20"/>
    <s v="Production Technician II"/>
    <s v="MA"/>
    <n v="2122"/>
    <d v="1976-12-26T00:00:00"/>
    <s v="F"/>
    <s v="Widowed"/>
    <s v="US Citizen"/>
    <s v="No"/>
    <s v="White"/>
    <d v="2013-07-08T00:00:00"/>
    <d v="2016-09-15T00:00:00"/>
    <x v="11"/>
    <s v="Voluntarily Terminated"/>
    <x v="0"/>
    <x v="0"/>
    <n v="22"/>
    <s v="LinkedIn"/>
    <s v="Fully Meets"/>
    <n v="4.6500000000000004"/>
    <n v="4"/>
    <n v="0"/>
    <d v="2016-06-10T00:00:00"/>
    <n v="0"/>
    <n v="15"/>
  </r>
  <r>
    <s v="Lunquist, Lisa"/>
    <n v="10035"/>
    <n v="0"/>
    <n v="0"/>
    <n v="0"/>
    <n v="1"/>
    <n v="5"/>
    <n v="4"/>
    <n v="0"/>
    <n v="73330"/>
    <n v="0"/>
    <n v="20"/>
    <s v="Production Technician II"/>
    <s v="MA"/>
    <n v="2324"/>
    <d v="1982-03-28T00:00:00"/>
    <s v="F"/>
    <s v="Single"/>
    <s v="US Citizen"/>
    <s v="No"/>
    <s v="Black or African American"/>
    <d v="2013-08-19T00:00:00"/>
    <m/>
    <x v="0"/>
    <s v="Active"/>
    <x v="0"/>
    <x v="3"/>
    <n v="16"/>
    <s v="Indeed"/>
    <s v="Exceeds"/>
    <n v="4.2"/>
    <n v="4"/>
    <n v="0"/>
    <d v="2019-02-12T00:00:00"/>
    <n v="0"/>
    <n v="19"/>
  </r>
  <r>
    <s v="Lydon, Allison"/>
    <n v="10057"/>
    <n v="1"/>
    <n v="1"/>
    <n v="0"/>
    <n v="3"/>
    <n v="5"/>
    <n v="3"/>
    <n v="0"/>
    <n v="52057"/>
    <n v="0"/>
    <n v="19"/>
    <s v="Production Technician I"/>
    <s v="MA"/>
    <n v="2122"/>
    <d v="1975-10-22T00:00:00"/>
    <s v="F"/>
    <s v="Married"/>
    <s v="US Citizen"/>
    <s v="No"/>
    <s v="Black or African American"/>
    <d v="2015-02-16T00:00:00"/>
    <m/>
    <x v="0"/>
    <s v="Active"/>
    <x v="0"/>
    <x v="3"/>
    <n v="16"/>
    <s v="Website"/>
    <s v="Fully Meets"/>
    <n v="5"/>
    <n v="3"/>
    <n v="0"/>
    <d v="2019-01-23T00:00:00"/>
    <n v="0"/>
    <n v="6"/>
  </r>
  <r>
    <s v="Lynch, Lindsay"/>
    <n v="10004"/>
    <n v="0"/>
    <n v="0"/>
    <n v="0"/>
    <n v="5"/>
    <n v="5"/>
    <n v="4"/>
    <n v="1"/>
    <n v="47434"/>
    <n v="1"/>
    <n v="19"/>
    <s v="Production Technician I"/>
    <s v="MA"/>
    <n v="1844"/>
    <d v="1973-02-14T00:00:00"/>
    <s v="F"/>
    <s v="Single"/>
    <s v="US Citizen"/>
    <s v="Yes"/>
    <s v="Black or African American"/>
    <d v="2011-11-07T00:00:00"/>
    <d v="2015-11-14T00:00:00"/>
    <x v="4"/>
    <s v="Voluntarily Terminated"/>
    <x v="0"/>
    <x v="4"/>
    <n v="39"/>
    <s v="Diversity Job Fair"/>
    <s v="Exceeds"/>
    <n v="5"/>
    <n v="4"/>
    <n v="0"/>
    <d v="2015-02-02T00:00:00"/>
    <n v="0"/>
    <n v="17"/>
  </r>
  <r>
    <s v="MacLennan, Samuel"/>
    <n v="10191"/>
    <n v="0"/>
    <n v="4"/>
    <n v="1"/>
    <n v="5"/>
    <n v="5"/>
    <n v="3"/>
    <n v="0"/>
    <n v="52788"/>
    <n v="1"/>
    <n v="19"/>
    <s v="Production Technician I"/>
    <s v="MA"/>
    <n v="1938"/>
    <d v="1972-11-09T00:00:00"/>
    <s v="M "/>
    <s v="Widowed"/>
    <s v="US Citizen"/>
    <s v="No"/>
    <s v="White"/>
    <d v="2012-09-24T00:00:00"/>
    <d v="2017-09-26T00:00:00"/>
    <x v="2"/>
    <s v="Voluntarily Terminated"/>
    <x v="0"/>
    <x v="5"/>
    <n v="11"/>
    <s v="Indeed"/>
    <s v="Fully Meets"/>
    <n v="3.08"/>
    <n v="4"/>
    <n v="0"/>
    <d v="2017-04-01T00:00:00"/>
    <n v="0"/>
    <n v="18"/>
  </r>
  <r>
    <s v="Mahoney, Lauren  "/>
    <n v="10219"/>
    <n v="0"/>
    <n v="0"/>
    <n v="0"/>
    <n v="1"/>
    <n v="5"/>
    <n v="3"/>
    <n v="0"/>
    <n v="45395"/>
    <n v="0"/>
    <n v="19"/>
    <s v="Production Technician I"/>
    <s v="MA"/>
    <n v="2189"/>
    <d v="1986-07-07T00:00:00"/>
    <s v="F"/>
    <s v="Single"/>
    <s v="US Citizen"/>
    <s v="No"/>
    <s v="White"/>
    <d v="2014-01-06T00:00:00"/>
    <m/>
    <x v="0"/>
    <s v="Active"/>
    <x v="0"/>
    <x v="7"/>
    <n v="19"/>
    <s v="LinkedIn"/>
    <s v="Fully Meets"/>
    <n v="4.5999999999999996"/>
    <n v="4"/>
    <n v="0"/>
    <d v="2019-02-26T00:00:00"/>
    <n v="0"/>
    <n v="14"/>
  </r>
  <r>
    <s v="Manchester, Robyn"/>
    <n v="10077"/>
    <n v="1"/>
    <n v="1"/>
    <n v="0"/>
    <n v="2"/>
    <n v="5"/>
    <n v="3"/>
    <n v="0"/>
    <n v="62385"/>
    <n v="0"/>
    <n v="20"/>
    <s v="Production Technician II"/>
    <s v="MA"/>
    <n v="2324"/>
    <d v="1976-08-25T00:00:00"/>
    <s v="F"/>
    <s v="Married"/>
    <s v="US Citizen"/>
    <s v="No"/>
    <s v="White"/>
    <d v="2016-05-11T00:00:00"/>
    <m/>
    <x v="0"/>
    <s v="Active"/>
    <x v="0"/>
    <x v="4"/>
    <m/>
    <s v="LinkedIn"/>
    <s v="Fully Meets"/>
    <n v="5"/>
    <n v="3"/>
    <n v="0"/>
    <d v="2019-01-21T00:00:00"/>
    <n v="0"/>
    <n v="4"/>
  </r>
  <r>
    <s v="Mancuso, Karen"/>
    <n v="10073"/>
    <n v="1"/>
    <n v="1"/>
    <n v="0"/>
    <n v="5"/>
    <n v="5"/>
    <n v="3"/>
    <n v="0"/>
    <n v="68407"/>
    <n v="1"/>
    <n v="20"/>
    <s v="Production Technician II"/>
    <s v="MA"/>
    <n v="2176"/>
    <d v="1986-12-10T00:00:00"/>
    <s v="F"/>
    <s v="Married"/>
    <s v="US Citizen"/>
    <s v="No"/>
    <s v="Two or more races"/>
    <d v="2011-07-05T00:00:00"/>
    <d v="2012-08-19T00:00:00"/>
    <x v="4"/>
    <s v="Voluntarily Terminated"/>
    <x v="0"/>
    <x v="5"/>
    <n v="11"/>
    <s v="LinkedIn"/>
    <s v="Fully Meets"/>
    <n v="5"/>
    <n v="4"/>
    <n v="0"/>
    <d v="2012-07-02T00:00:00"/>
    <n v="0"/>
    <n v="16"/>
  </r>
  <r>
    <s v="Mangal, Debbie"/>
    <n v="10279"/>
    <n v="1"/>
    <n v="1"/>
    <n v="0"/>
    <n v="1"/>
    <n v="5"/>
    <n v="3"/>
    <n v="0"/>
    <n v="61349"/>
    <n v="0"/>
    <n v="19"/>
    <s v="Production Technician I"/>
    <s v="MA"/>
    <n v="2451"/>
    <d v="1974-11-07T00:00:00"/>
    <s v="F"/>
    <s v="Married"/>
    <s v="US Citizen"/>
    <s v="No"/>
    <s v="White"/>
    <d v="2013-11-11T00:00:00"/>
    <m/>
    <x v="0"/>
    <s v="Active"/>
    <x v="0"/>
    <x v="8"/>
    <n v="12"/>
    <s v="LinkedIn"/>
    <s v="Fully Meets"/>
    <n v="4.0999999999999996"/>
    <n v="3"/>
    <n v="0"/>
    <d v="2019-01-22T00:00:00"/>
    <n v="0"/>
    <n v="11"/>
  </r>
  <r>
    <s v="Martin, Sandra"/>
    <n v="10110"/>
    <n v="0"/>
    <n v="0"/>
    <n v="0"/>
    <n v="1"/>
    <n v="4"/>
    <n v="3"/>
    <n v="0"/>
    <n v="105688"/>
    <n v="0"/>
    <n v="24"/>
    <s v="Software Engineer"/>
    <s v="MA"/>
    <n v="2135"/>
    <d v="1987-11-07T00:00:00"/>
    <s v="F"/>
    <s v="Single"/>
    <s v="US Citizen"/>
    <s v="No"/>
    <s v="Asian"/>
    <d v="2013-11-11T00:00:00"/>
    <m/>
    <x v="0"/>
    <s v="Active"/>
    <x v="2"/>
    <x v="6"/>
    <n v="10"/>
    <s v="Google Search"/>
    <s v="Fully Meets"/>
    <n v="4.5"/>
    <n v="5"/>
    <n v="4"/>
    <d v="2019-01-14T00:00:00"/>
    <n v="0"/>
    <n v="14"/>
  </r>
  <r>
    <s v="Maurice, Shana"/>
    <n v="10053"/>
    <n v="1"/>
    <n v="1"/>
    <n v="0"/>
    <n v="1"/>
    <n v="5"/>
    <n v="3"/>
    <n v="0"/>
    <n v="54132"/>
    <n v="0"/>
    <n v="19"/>
    <s v="Production Technician I"/>
    <s v="MA"/>
    <n v="2330"/>
    <d v="1977-11-22T00:00:00"/>
    <s v="F"/>
    <s v="Married"/>
    <s v="US Citizen"/>
    <s v="No"/>
    <s v="White"/>
    <d v="2011-05-31T00:00:00"/>
    <m/>
    <x v="0"/>
    <s v="Active"/>
    <x v="0"/>
    <x v="10"/>
    <n v="14"/>
    <s v="Indeed"/>
    <s v="Fully Meets"/>
    <n v="5"/>
    <n v="4"/>
    <n v="0"/>
    <d v="2019-01-10T00:00:00"/>
    <n v="0"/>
    <n v="8"/>
  </r>
  <r>
    <s v="Carthy, B'rigit"/>
    <n v="10076"/>
    <n v="0"/>
    <n v="0"/>
    <n v="0"/>
    <n v="1"/>
    <n v="5"/>
    <n v="3"/>
    <n v="0"/>
    <n v="55315"/>
    <n v="0"/>
    <n v="20"/>
    <s v="Production Technician II"/>
    <s v="MA"/>
    <n v="2149"/>
    <d v="1987-05-21T00:00:00"/>
    <s v="F"/>
    <s v="Single"/>
    <s v="US Citizen"/>
    <s v="No"/>
    <s v="Black or African American"/>
    <d v="2015-03-30T00:00:00"/>
    <m/>
    <x v="0"/>
    <s v="Active"/>
    <x v="0"/>
    <x v="7"/>
    <n v="19"/>
    <s v="LinkedIn"/>
    <s v="Fully Meets"/>
    <n v="5"/>
    <n v="5"/>
    <n v="0"/>
    <d v="2019-02-07T00:00:00"/>
    <n v="0"/>
    <n v="16"/>
  </r>
  <r>
    <s v="Mckenna, Sandy"/>
    <n v="10145"/>
    <n v="1"/>
    <n v="1"/>
    <n v="0"/>
    <n v="1"/>
    <n v="5"/>
    <n v="3"/>
    <n v="0"/>
    <n v="62810"/>
    <n v="0"/>
    <n v="19"/>
    <s v="Production Technician I"/>
    <s v="MA"/>
    <n v="2184"/>
    <d v="1987-01-07T00:00:00"/>
    <s v="F"/>
    <s v="Married"/>
    <s v="US Citizen"/>
    <s v="No"/>
    <s v="Black or African American"/>
    <d v="2013-01-07T00:00:00"/>
    <m/>
    <x v="0"/>
    <s v="Active"/>
    <x v="0"/>
    <x v="2"/>
    <n v="20"/>
    <s v="CareerBuilder"/>
    <s v="Fully Meets"/>
    <n v="3.93"/>
    <n v="3"/>
    <n v="0"/>
    <d v="2019-01-30T00:00:00"/>
    <n v="0"/>
    <n v="20"/>
  </r>
  <r>
    <s v="McKinzie, Jac"/>
    <n v="10202"/>
    <n v="1"/>
    <n v="1"/>
    <n v="1"/>
    <n v="2"/>
    <n v="6"/>
    <n v="3"/>
    <n v="0"/>
    <n v="63291"/>
    <n v="0"/>
    <n v="3"/>
    <s v="Area Sales Manager"/>
    <s v="TX"/>
    <n v="78789"/>
    <d v="1984-07-01T00:00:00"/>
    <s v="M "/>
    <s v="Married"/>
    <s v="US Citizen"/>
    <s v="No"/>
    <s v="Two or more races"/>
    <d v="2016-07-06T00:00:00"/>
    <m/>
    <x v="0"/>
    <s v="Active"/>
    <x v="4"/>
    <x v="16"/>
    <n v="21"/>
    <s v="Website"/>
    <s v="Fully Meets"/>
    <n v="3.4"/>
    <n v="4"/>
    <n v="0"/>
    <d v="2019-01-29T00:00:00"/>
    <n v="0"/>
    <n v="7"/>
  </r>
  <r>
    <s v="Meads, Elizabeth"/>
    <n v="10128"/>
    <n v="0"/>
    <n v="0"/>
    <n v="0"/>
    <n v="5"/>
    <n v="5"/>
    <n v="3"/>
    <n v="1"/>
    <n v="62659"/>
    <n v="1"/>
    <n v="19"/>
    <s v="Production Technician I"/>
    <s v="MA"/>
    <n v="1760"/>
    <d v="1968-05-30T00:00:00"/>
    <s v="F"/>
    <s v="Single"/>
    <s v="US Citizen"/>
    <s v="No"/>
    <s v="Black or African American"/>
    <d v="2012-04-02T00:00:00"/>
    <d v="2016-11-11T00:00:00"/>
    <x v="4"/>
    <s v="Voluntarily Terminated"/>
    <x v="0"/>
    <x v="11"/>
    <n v="18"/>
    <s v="Diversity Job Fair"/>
    <s v="Fully Meets"/>
    <n v="4.18"/>
    <n v="4"/>
    <n v="0"/>
    <d v="2016-02-05T00:00:00"/>
    <n v="0"/>
    <n v="17"/>
  </r>
  <r>
    <s v="Medeiros, Jennifer"/>
    <n v="10068"/>
    <n v="0"/>
    <n v="0"/>
    <n v="0"/>
    <n v="1"/>
    <n v="5"/>
    <n v="3"/>
    <n v="0"/>
    <n v="55688"/>
    <n v="0"/>
    <n v="19"/>
    <s v="Production Technician I"/>
    <s v="MA"/>
    <n v="2346"/>
    <d v="1976-09-22T00:00:00"/>
    <s v="F"/>
    <s v="Single"/>
    <s v="US Citizen"/>
    <s v="No"/>
    <s v="White"/>
    <d v="2015-03-30T00:00:00"/>
    <m/>
    <x v="0"/>
    <s v="Active"/>
    <x v="0"/>
    <x v="0"/>
    <n v="22"/>
    <s v="CareerBuilder"/>
    <s v="Fully Meets"/>
    <n v="5"/>
    <n v="4"/>
    <n v="0"/>
    <d v="2019-01-21T00:00:00"/>
    <n v="0"/>
    <n v="10"/>
  </r>
  <r>
    <s v="Miller, Brannon"/>
    <n v="10116"/>
    <n v="0"/>
    <n v="0"/>
    <n v="1"/>
    <n v="1"/>
    <n v="5"/>
    <n v="3"/>
    <n v="0"/>
    <n v="83667"/>
    <n v="0"/>
    <n v="18"/>
    <s v="Production Manager"/>
    <s v="MA"/>
    <n v="2045"/>
    <d v="1981-08-10T00:00:00"/>
    <s v="M "/>
    <s v="Single"/>
    <s v="US Citizen"/>
    <s v="Yes"/>
    <s v="Hispanic"/>
    <d v="2012-08-16T00:00:00"/>
    <m/>
    <x v="0"/>
    <s v="Active"/>
    <x v="0"/>
    <x v="13"/>
    <n v="2"/>
    <s v="Indeed"/>
    <s v="Fully Meets"/>
    <n v="4.37"/>
    <n v="3"/>
    <n v="0"/>
    <d v="2019-01-14T00:00:00"/>
    <n v="0"/>
    <n v="2"/>
  </r>
  <r>
    <s v="Miller, Ned"/>
    <n v="10298"/>
    <n v="0"/>
    <n v="0"/>
    <n v="1"/>
    <n v="5"/>
    <n v="5"/>
    <n v="1"/>
    <n v="0"/>
    <n v="55800"/>
    <n v="1"/>
    <n v="20"/>
    <s v="Production Technician II"/>
    <s v="MA"/>
    <n v="2472"/>
    <d v="1985-06-29T00:00:00"/>
    <s v="M "/>
    <s v="Single"/>
    <s v="US Citizen"/>
    <s v="No"/>
    <s v="White"/>
    <d v="2011-08-15T00:00:00"/>
    <d v="2014-09-04T00:00:00"/>
    <x v="5"/>
    <s v="Voluntarily Terminated"/>
    <x v="0"/>
    <x v="8"/>
    <n v="12"/>
    <s v="LinkedIn"/>
    <s v="PIP"/>
    <n v="3"/>
    <n v="2"/>
    <n v="0"/>
    <d v="2013-01-14T00:00:00"/>
    <n v="6"/>
    <n v="6"/>
  </r>
  <r>
    <s v="Monkfish, Erasumus"/>
    <n v="10213"/>
    <n v="1"/>
    <n v="1"/>
    <n v="1"/>
    <n v="1"/>
    <n v="5"/>
    <n v="3"/>
    <n v="0"/>
    <n v="58207"/>
    <n v="0"/>
    <n v="20"/>
    <s v="Production Technician II"/>
    <s v="MA"/>
    <n v="1450"/>
    <d v="1992-08-17T00:00:00"/>
    <s v="M "/>
    <s v="Married"/>
    <s v="US Citizen"/>
    <s v="No"/>
    <s v="White"/>
    <d v="2011-11-07T00:00:00"/>
    <m/>
    <x v="0"/>
    <s v="Active"/>
    <x v="0"/>
    <x v="10"/>
    <n v="14"/>
    <s v="LinkedIn"/>
    <s v="Fully Meets"/>
    <n v="3.7"/>
    <n v="3"/>
    <n v="0"/>
    <d v="2019-01-08T00:00:00"/>
    <n v="0"/>
    <n v="14"/>
  </r>
  <r>
    <s v="Monroe, Peter"/>
    <n v="10288"/>
    <n v="1"/>
    <n v="1"/>
    <n v="1"/>
    <n v="1"/>
    <n v="3"/>
    <n v="2"/>
    <n v="1"/>
    <n v="157000"/>
    <n v="0"/>
    <n v="13"/>
    <s v="IT Manager - Infra"/>
    <s v="MA"/>
    <n v="2134"/>
    <d v="1986-10-05T00:00:00"/>
    <s v="M "/>
    <s v="Married"/>
    <s v="Eligible NonCitizen"/>
    <s v="Yes"/>
    <s v="Black or African American"/>
    <d v="2012-02-15T00:00:00"/>
    <m/>
    <x v="0"/>
    <s v="Active"/>
    <x v="1"/>
    <x v="15"/>
    <n v="5"/>
    <s v="Diversity Job Fair"/>
    <s v="Needs Improvement"/>
    <n v="2.39"/>
    <n v="3"/>
    <n v="6"/>
    <d v="2019-02-22T00:00:00"/>
    <n v="4"/>
    <n v="13"/>
  </r>
  <r>
    <s v="Monterro, Luisa"/>
    <n v="10025"/>
    <n v="0"/>
    <n v="0"/>
    <n v="0"/>
    <n v="1"/>
    <n v="5"/>
    <n v="4"/>
    <n v="0"/>
    <n v="72460"/>
    <n v="0"/>
    <n v="20"/>
    <s v="Production Technician II"/>
    <s v="MA"/>
    <n v="2126"/>
    <d v="1970-04-24T00:00:00"/>
    <s v="F"/>
    <s v="Single"/>
    <s v="US Citizen"/>
    <s v="No"/>
    <s v="Black or African American"/>
    <d v="2013-05-13T00:00:00"/>
    <m/>
    <x v="0"/>
    <s v="Active"/>
    <x v="0"/>
    <x v="2"/>
    <n v="20"/>
    <s v="Indeed"/>
    <s v="Exceeds"/>
    <n v="4.7"/>
    <n v="3"/>
    <n v="0"/>
    <d v="2019-01-14T00:00:00"/>
    <n v="0"/>
    <n v="1"/>
  </r>
  <r>
    <s v="Moran, Patrick"/>
    <n v="10223"/>
    <n v="0"/>
    <n v="0"/>
    <n v="1"/>
    <n v="3"/>
    <n v="5"/>
    <n v="3"/>
    <n v="1"/>
    <n v="72106"/>
    <n v="0"/>
    <n v="20"/>
    <s v="Production Technician II"/>
    <s v="MA"/>
    <n v="2127"/>
    <d v="1976-12-03T00:00:00"/>
    <s v="M "/>
    <s v="Single"/>
    <s v="US Citizen"/>
    <s v="No"/>
    <s v="Black or African American"/>
    <d v="2012-01-09T00:00:00"/>
    <m/>
    <x v="0"/>
    <s v="Active"/>
    <x v="0"/>
    <x v="11"/>
    <n v="18"/>
    <s v="Diversity Job Fair"/>
    <s v="Fully Meets"/>
    <n v="4.0999999999999996"/>
    <n v="4"/>
    <n v="0"/>
    <d v="2019-01-31T00:00:00"/>
    <n v="0"/>
    <n v="12"/>
  </r>
  <r>
    <s v="Morway, Tanya"/>
    <n v="10151"/>
    <n v="1"/>
    <n v="1"/>
    <n v="0"/>
    <n v="1"/>
    <n v="3"/>
    <n v="3"/>
    <n v="0"/>
    <n v="52599"/>
    <n v="0"/>
    <n v="15"/>
    <s v="Network Engineer"/>
    <s v="MA"/>
    <n v="2048"/>
    <d v="1979-04-04T00:00:00"/>
    <s v="F"/>
    <s v="Married"/>
    <s v="US Citizen"/>
    <s v="No"/>
    <s v="White"/>
    <d v="2015-02-16T00:00:00"/>
    <m/>
    <x v="0"/>
    <s v="Active"/>
    <x v="1"/>
    <x v="9"/>
    <n v="7"/>
    <s v="CareerBuilder"/>
    <s v="Fully Meets"/>
    <n v="3.81"/>
    <n v="3"/>
    <n v="6"/>
    <d v="2019-02-11T00:00:00"/>
    <n v="0"/>
    <n v="6"/>
  </r>
  <r>
    <s v="Motlagh,  Dawn"/>
    <n v="10254"/>
    <n v="0"/>
    <n v="2"/>
    <n v="0"/>
    <n v="1"/>
    <n v="5"/>
    <n v="3"/>
    <n v="0"/>
    <n v="63430"/>
    <n v="0"/>
    <n v="19"/>
    <s v="Production Technician I"/>
    <s v="MA"/>
    <n v="2453"/>
    <d v="1984-07-07T00:00:00"/>
    <s v="F"/>
    <s v="Divorced"/>
    <s v="US Citizen"/>
    <s v="No"/>
    <s v="White"/>
    <d v="2013-04-01T00:00:00"/>
    <m/>
    <x v="0"/>
    <s v="Active"/>
    <x v="0"/>
    <x v="3"/>
    <n v="16"/>
    <s v="LinkedIn"/>
    <s v="Fully Meets"/>
    <n v="4.4000000000000004"/>
    <n v="4"/>
    <n v="0"/>
    <d v="2019-01-17T00:00:00"/>
    <n v="0"/>
    <n v="18"/>
  </r>
  <r>
    <s v="Moumanil, Maliki "/>
    <n v="10120"/>
    <n v="0"/>
    <n v="3"/>
    <n v="1"/>
    <n v="1"/>
    <n v="5"/>
    <n v="3"/>
    <n v="0"/>
    <n v="74417"/>
    <n v="0"/>
    <n v="20"/>
    <s v="Production Technician II"/>
    <s v="MA"/>
    <n v="1460"/>
    <d v="1974-12-01T00:00:00"/>
    <s v="M "/>
    <s v="Separated"/>
    <s v="US Citizen"/>
    <s v="No"/>
    <s v="Black or African American"/>
    <d v="2013-05-13T00:00:00"/>
    <m/>
    <x v="0"/>
    <s v="Active"/>
    <x v="0"/>
    <x v="0"/>
    <n v="22"/>
    <s v="LinkedIn"/>
    <s v="Fully Meets"/>
    <n v="4.29"/>
    <n v="5"/>
    <n v="0"/>
    <d v="2019-01-28T00:00:00"/>
    <n v="0"/>
    <n v="11"/>
  </r>
  <r>
    <s v="Myers, Michael"/>
    <n v="10216"/>
    <n v="0"/>
    <n v="0"/>
    <n v="1"/>
    <n v="1"/>
    <n v="5"/>
    <n v="3"/>
    <n v="0"/>
    <n v="57575"/>
    <n v="0"/>
    <n v="19"/>
    <s v="Production Technician I"/>
    <s v="MA"/>
    <n v="1550"/>
    <d v="1980-04-18T00:00:00"/>
    <s v="M "/>
    <s v="Single"/>
    <s v="US Citizen"/>
    <s v="No"/>
    <s v="Asian"/>
    <d v="2013-07-08T00:00:00"/>
    <m/>
    <x v="0"/>
    <s v="Active"/>
    <x v="0"/>
    <x v="2"/>
    <n v="20"/>
    <s v="LinkedIn"/>
    <s v="Fully Meets"/>
    <n v="4.0999999999999996"/>
    <n v="4"/>
    <n v="0"/>
    <d v="2019-01-22T00:00:00"/>
    <n v="0"/>
    <n v="13"/>
  </r>
  <r>
    <s v="Navathe, Kurt"/>
    <n v="10079"/>
    <n v="0"/>
    <n v="0"/>
    <n v="1"/>
    <n v="1"/>
    <n v="3"/>
    <n v="3"/>
    <n v="0"/>
    <n v="87921"/>
    <n v="0"/>
    <n v="22"/>
    <s v="Senior BI Developer"/>
    <s v="MA"/>
    <n v="2056"/>
    <d v="1970-04-25T00:00:00"/>
    <s v="M "/>
    <s v="Single"/>
    <s v="US Citizen"/>
    <s v="No"/>
    <s v="Asian"/>
    <d v="2017-02-10T00:00:00"/>
    <m/>
    <x v="0"/>
    <s v="Active"/>
    <x v="1"/>
    <x v="19"/>
    <n v="13"/>
    <s v="Indeed"/>
    <s v="Fully Meets"/>
    <n v="5"/>
    <n v="3"/>
    <n v="6"/>
    <d v="2019-02-25T00:00:00"/>
    <n v="0"/>
    <n v="17"/>
  </r>
  <r>
    <s v="Ndzi, Colombui"/>
    <n v="10215"/>
    <n v="0"/>
    <n v="0"/>
    <n v="1"/>
    <n v="5"/>
    <n v="5"/>
    <n v="3"/>
    <n v="1"/>
    <n v="50470"/>
    <n v="1"/>
    <n v="19"/>
    <s v="Production Technician I"/>
    <s v="MA"/>
    <n v="2110"/>
    <d v="1989-05-02T00:00:00"/>
    <s v="M "/>
    <s v="Single"/>
    <s v="US Citizen"/>
    <s v="No"/>
    <s v="Black or African American"/>
    <d v="2011-09-26T00:00:00"/>
    <d v="2014-04-04T00:00:00"/>
    <x v="3"/>
    <s v="Voluntarily Terminated"/>
    <x v="0"/>
    <x v="4"/>
    <n v="39"/>
    <s v="Diversity Job Fair"/>
    <s v="Fully Meets"/>
    <n v="4.3"/>
    <n v="3"/>
    <n v="0"/>
    <d v="2013-03-02T00:00:00"/>
    <n v="0"/>
    <n v="19"/>
  </r>
  <r>
    <s v="Ndzi, Horia"/>
    <n v="10185"/>
    <n v="1"/>
    <n v="1"/>
    <n v="1"/>
    <n v="5"/>
    <n v="5"/>
    <n v="3"/>
    <n v="0"/>
    <n v="46664"/>
    <n v="1"/>
    <n v="19"/>
    <s v="Production Technician I"/>
    <s v="MA"/>
    <n v="2421"/>
    <d v="1983-03-28T00:00:00"/>
    <s v="M "/>
    <s v="Married"/>
    <s v="US Citizen"/>
    <s v="No"/>
    <s v="White"/>
    <d v="2013-04-01T00:00:00"/>
    <d v="2016-05-25T00:00:00"/>
    <x v="11"/>
    <s v="Voluntarily Terminated"/>
    <x v="0"/>
    <x v="5"/>
    <n v="11"/>
    <s v="Employee Referral"/>
    <s v="Fully Meets"/>
    <n v="3.18"/>
    <n v="3"/>
    <n v="0"/>
    <d v="2016-03-06T00:00:00"/>
    <n v="0"/>
    <n v="10"/>
  </r>
  <r>
    <s v="Newman, Richard "/>
    <n v="10063"/>
    <n v="1"/>
    <n v="1"/>
    <n v="1"/>
    <n v="3"/>
    <n v="5"/>
    <n v="3"/>
    <n v="0"/>
    <n v="48495"/>
    <n v="0"/>
    <n v="19"/>
    <s v="Production Technician I"/>
    <s v="MA"/>
    <n v="2136"/>
    <d v="1977-04-08T00:00:00"/>
    <s v="M "/>
    <s v="Married"/>
    <s v="US Citizen"/>
    <s v="No"/>
    <s v="White"/>
    <d v="2014-05-12T00:00:00"/>
    <m/>
    <x v="0"/>
    <s v="Active"/>
    <x v="0"/>
    <x v="7"/>
    <n v="19"/>
    <s v="LinkedIn"/>
    <s v="Fully Meets"/>
    <n v="5"/>
    <n v="5"/>
    <n v="0"/>
    <d v="2019-02-18T00:00:00"/>
    <n v="0"/>
    <n v="11"/>
  </r>
  <r>
    <s v="Ngodup, Shari "/>
    <n v="10037"/>
    <n v="0"/>
    <n v="3"/>
    <n v="0"/>
    <n v="1"/>
    <n v="5"/>
    <n v="4"/>
    <n v="1"/>
    <n v="52984"/>
    <n v="0"/>
    <n v="19"/>
    <s v="Production Technician I"/>
    <s v="MA"/>
    <n v="1810"/>
    <d v="1967-06-03T00:00:00"/>
    <s v="F"/>
    <s v="Separated"/>
    <s v="US Citizen"/>
    <s v="No"/>
    <s v="Black or African American"/>
    <d v="2013-04-01T00:00:00"/>
    <m/>
    <x v="0"/>
    <s v="Active"/>
    <x v="0"/>
    <x v="8"/>
    <n v="12"/>
    <s v="Diversity Job Fair"/>
    <s v="Exceeds"/>
    <n v="4"/>
    <n v="3"/>
    <n v="0"/>
    <d v="2019-02-13T00:00:00"/>
    <n v="0"/>
    <n v="12"/>
  </r>
  <r>
    <s v="Nguyen, Dheepa"/>
    <n v="10042"/>
    <n v="0"/>
    <n v="0"/>
    <n v="0"/>
    <n v="1"/>
    <n v="6"/>
    <n v="3"/>
    <n v="0"/>
    <n v="63695"/>
    <n v="0"/>
    <n v="3"/>
    <s v="Area Sales Manager"/>
    <s v="GA"/>
    <n v="30428"/>
    <d v="1989-03-31T00:00:00"/>
    <s v="F"/>
    <s v="Single"/>
    <s v="US Citizen"/>
    <s v="No"/>
    <s v="Two or more races"/>
    <d v="2013-07-08T00:00:00"/>
    <m/>
    <x v="0"/>
    <s v="Active"/>
    <x v="4"/>
    <x v="16"/>
    <n v="21"/>
    <s v="Indeed"/>
    <s v="Fully Meets"/>
    <n v="5"/>
    <n v="5"/>
    <n v="0"/>
    <d v="2019-01-25T00:00:00"/>
    <n v="0"/>
    <n v="2"/>
  </r>
  <r>
    <s v="Nguyen, Lei-Ming"/>
    <n v="10206"/>
    <n v="0"/>
    <n v="0"/>
    <n v="0"/>
    <n v="1"/>
    <n v="5"/>
    <n v="3"/>
    <n v="0"/>
    <n v="62061"/>
    <n v="0"/>
    <n v="19"/>
    <s v="Production Technician I"/>
    <s v="MA"/>
    <n v="2132"/>
    <d v="1984-07-07T00:00:00"/>
    <s v="F"/>
    <s v="Single"/>
    <s v="US Citizen"/>
    <s v="No"/>
    <s v="White"/>
    <d v="2013-07-08T00:00:00"/>
    <m/>
    <x v="0"/>
    <s v="Active"/>
    <x v="0"/>
    <x v="10"/>
    <n v="14"/>
    <s v="LinkedIn"/>
    <s v="Fully Meets"/>
    <n v="3.6"/>
    <n v="5"/>
    <n v="0"/>
    <d v="2019-01-02T00:00:00"/>
    <n v="0"/>
    <n v="4"/>
  </r>
  <r>
    <s v="Nowlan, Kristie"/>
    <n v="10104"/>
    <n v="0"/>
    <n v="0"/>
    <n v="0"/>
    <n v="1"/>
    <n v="5"/>
    <n v="3"/>
    <n v="0"/>
    <n v="66738"/>
    <n v="0"/>
    <n v="20"/>
    <s v="Production Technician II"/>
    <s v="MA"/>
    <n v="1040"/>
    <d v="1985-11-23T00:00:00"/>
    <s v="F"/>
    <s v="Single"/>
    <s v="US Citizen"/>
    <s v="No"/>
    <s v="White"/>
    <d v="2014-11-10T00:00:00"/>
    <m/>
    <x v="0"/>
    <s v="Active"/>
    <x v="0"/>
    <x v="3"/>
    <n v="16"/>
    <s v="Indeed"/>
    <s v="Fully Meets"/>
    <n v="4.53"/>
    <n v="5"/>
    <n v="0"/>
    <d v="2019-01-16T00:00:00"/>
    <n v="0"/>
    <n v="5"/>
  </r>
  <r>
    <s v="O'hare, Lynn"/>
    <n v="10303"/>
    <n v="0"/>
    <n v="0"/>
    <n v="0"/>
    <n v="4"/>
    <n v="5"/>
    <n v="1"/>
    <n v="0"/>
    <n v="52674"/>
    <n v="1"/>
    <n v="19"/>
    <s v="Production Technician I"/>
    <s v="MA"/>
    <n v="2152"/>
    <d v="1980-09-30T00:00:00"/>
    <s v="F"/>
    <s v="Single"/>
    <s v="US Citizen"/>
    <s v="No"/>
    <s v="Two or more races"/>
    <d v="2014-03-31T00:00:00"/>
    <d v="2018-05-01T00:00:00"/>
    <x v="7"/>
    <s v="Terminated for Cause"/>
    <x v="0"/>
    <x v="2"/>
    <n v="20"/>
    <s v="LinkedIn"/>
    <s v="PIP"/>
    <n v="2.33"/>
    <n v="2"/>
    <n v="0"/>
    <d v="2018-03-09T00:00:00"/>
    <n v="6"/>
    <n v="3"/>
  </r>
  <r>
    <s v="Oliver, Brooke "/>
    <n v="10078"/>
    <n v="1"/>
    <n v="1"/>
    <n v="0"/>
    <n v="5"/>
    <n v="5"/>
    <n v="3"/>
    <n v="0"/>
    <n v="71966"/>
    <n v="1"/>
    <n v="20"/>
    <s v="Production Technician II"/>
    <s v="MA"/>
    <n v="2492"/>
    <d v="1952-02-11T00:00:00"/>
    <s v="F"/>
    <s v="Married"/>
    <s v="US Citizen"/>
    <s v="No"/>
    <s v="Asian"/>
    <d v="2012-05-14T00:00:00"/>
    <d v="2013-08-19T00:00:00"/>
    <x v="5"/>
    <s v="Voluntarily Terminated"/>
    <x v="0"/>
    <x v="4"/>
    <n v="39"/>
    <s v="LinkedIn"/>
    <s v="Fully Meets"/>
    <n v="5"/>
    <n v="3"/>
    <n v="0"/>
    <d v="2013-07-02T00:00:00"/>
    <n v="0"/>
    <n v="17"/>
  </r>
  <r>
    <s v="Onque, Jasmine"/>
    <n v="10121"/>
    <n v="0"/>
    <n v="0"/>
    <n v="0"/>
    <n v="1"/>
    <n v="6"/>
    <n v="3"/>
    <n v="0"/>
    <n v="63051"/>
    <n v="0"/>
    <n v="3"/>
    <s v="Area Sales Manager"/>
    <s v="FL"/>
    <n v="33174"/>
    <d v="1990-05-11T00:00:00"/>
    <s v="F"/>
    <s v="Single"/>
    <s v="US Citizen"/>
    <s v="Yes"/>
    <s v="White"/>
    <d v="2013-09-30T00:00:00"/>
    <m/>
    <x v="0"/>
    <s v="Active"/>
    <x v="4"/>
    <x v="16"/>
    <n v="21"/>
    <s v="Indeed"/>
    <s v="Fully Meets"/>
    <n v="4.28"/>
    <n v="3"/>
    <n v="0"/>
    <d v="2019-01-25T00:00:00"/>
    <n v="0"/>
    <n v="1"/>
  </r>
  <r>
    <s v="Osturnka, Adeel"/>
    <n v="10021"/>
    <n v="1"/>
    <n v="1"/>
    <n v="1"/>
    <n v="1"/>
    <n v="5"/>
    <n v="4"/>
    <n v="0"/>
    <n v="47414"/>
    <n v="0"/>
    <n v="19"/>
    <s v="Production Technician I"/>
    <s v="MA"/>
    <n v="2478"/>
    <d v="1976-12-11T00:00:00"/>
    <s v="M "/>
    <s v="Married"/>
    <s v="US Citizen"/>
    <s v="No"/>
    <s v="White"/>
    <d v="2013-09-30T00:00:00"/>
    <m/>
    <x v="0"/>
    <s v="Active"/>
    <x v="0"/>
    <x v="11"/>
    <n v="18"/>
    <s v="LinkedIn"/>
    <s v="Exceeds"/>
    <n v="5"/>
    <n v="3"/>
    <n v="0"/>
    <d v="2019-02-07T00:00:00"/>
    <n v="0"/>
    <n v="13"/>
  </r>
  <r>
    <s v="Owad, Clinton"/>
    <n v="10281"/>
    <n v="0"/>
    <n v="0"/>
    <n v="1"/>
    <n v="1"/>
    <n v="5"/>
    <n v="2"/>
    <n v="0"/>
    <n v="53060"/>
    <n v="0"/>
    <n v="19"/>
    <s v="Production Technician I"/>
    <s v="MA"/>
    <n v="1760"/>
    <d v="1979-11-24T00:00:00"/>
    <s v="M "/>
    <s v="Single"/>
    <s v="US Citizen"/>
    <s v="No"/>
    <s v="Black or African American"/>
    <d v="2014-02-17T00:00:00"/>
    <m/>
    <x v="0"/>
    <s v="Active"/>
    <x v="0"/>
    <x v="0"/>
    <n v="22"/>
    <s v="LinkedIn"/>
    <s v="Needs Improvement"/>
    <n v="4.25"/>
    <n v="3"/>
    <n v="0"/>
    <d v="2019-02-04T00:00:00"/>
    <n v="4"/>
    <n v="6"/>
  </r>
  <r>
    <s v="Ozark, Travis"/>
    <n v="10041"/>
    <n v="0"/>
    <n v="0"/>
    <n v="1"/>
    <n v="1"/>
    <n v="6"/>
    <n v="3"/>
    <n v="0"/>
    <n v="68829"/>
    <n v="0"/>
    <n v="3"/>
    <s v="Area Sales Manager"/>
    <s v="NC"/>
    <n v="27229"/>
    <d v="1982-05-19T00:00:00"/>
    <s v="M "/>
    <s v="Single"/>
    <s v="US Citizen"/>
    <s v="No"/>
    <s v="White"/>
    <d v="2015-01-05T00:00:00"/>
    <m/>
    <x v="0"/>
    <s v="Active"/>
    <x v="4"/>
    <x v="14"/>
    <n v="17"/>
    <s v="Website"/>
    <s v="Fully Meets"/>
    <n v="5"/>
    <n v="5"/>
    <n v="0"/>
    <d v="2019-01-14T00:00:00"/>
    <n v="0"/>
    <n v="18"/>
  </r>
  <r>
    <s v="Panjwani, Nina"/>
    <n v="10148"/>
    <n v="1"/>
    <n v="1"/>
    <n v="0"/>
    <n v="5"/>
    <n v="5"/>
    <n v="3"/>
    <n v="0"/>
    <n v="63515"/>
    <n v="1"/>
    <n v="19"/>
    <s v="Production Technician I"/>
    <s v="MA"/>
    <n v="2351"/>
    <d v="1979-05-01T00:00:00"/>
    <s v="F"/>
    <s v="Married"/>
    <s v="US Citizen"/>
    <s v="No"/>
    <s v="White"/>
    <d v="2011-02-07T00:00:00"/>
    <d v="2014-01-12T00:00:00"/>
    <x v="4"/>
    <s v="Voluntarily Terminated"/>
    <x v="0"/>
    <x v="3"/>
    <n v="16"/>
    <s v="Google Search"/>
    <s v="Fully Meets"/>
    <n v="3.89"/>
    <n v="4"/>
    <n v="0"/>
    <d v="2013-03-04T00:00:00"/>
    <n v="0"/>
    <n v="7"/>
  </r>
  <r>
    <s v="Patronick, Lucas"/>
    <n v="10005"/>
    <n v="0"/>
    <n v="0"/>
    <n v="1"/>
    <n v="5"/>
    <n v="4"/>
    <n v="4"/>
    <n v="1"/>
    <n v="108987"/>
    <n v="1"/>
    <n v="24"/>
    <s v="Software Engineer"/>
    <s v="MA"/>
    <n v="1844"/>
    <d v="1979-02-20T00:00:00"/>
    <s v="M "/>
    <s v="Single"/>
    <s v="US Citizen"/>
    <s v="No"/>
    <s v="Black or African American"/>
    <d v="2011-11-07T00:00:00"/>
    <d v="2015-09-07T00:00:00"/>
    <x v="4"/>
    <s v="Voluntarily Terminated"/>
    <x v="2"/>
    <x v="6"/>
    <n v="10"/>
    <s v="Diversity Job Fair"/>
    <s v="Exceeds"/>
    <n v="5"/>
    <n v="5"/>
    <n v="3"/>
    <d v="2015-08-16T00:00:00"/>
    <n v="0"/>
    <n v="13"/>
  </r>
  <r>
    <s v="Pearson, Randall"/>
    <n v="10259"/>
    <n v="1"/>
    <n v="1"/>
    <n v="1"/>
    <n v="5"/>
    <n v="3"/>
    <n v="3"/>
    <n v="0"/>
    <n v="93093"/>
    <n v="1"/>
    <n v="9"/>
    <s v="Data Analyst"/>
    <s v="MA"/>
    <n v="2747"/>
    <d v="1984-09-05T00:00:00"/>
    <s v="M "/>
    <s v="Married"/>
    <s v="US Citizen"/>
    <s v="No"/>
    <s v="White"/>
    <d v="2014-12-01T00:00:00"/>
    <d v="2016-05-01T00:00:00"/>
    <x v="7"/>
    <s v="Voluntarily Terminated"/>
    <x v="1"/>
    <x v="1"/>
    <n v="4"/>
    <s v="Employee Referral"/>
    <s v="Fully Meets"/>
    <n v="4.7"/>
    <n v="4"/>
    <n v="5"/>
    <d v="2016-01-16T00:00:00"/>
    <n v="0"/>
    <n v="19"/>
  </r>
  <r>
    <s v="Smith, Martin"/>
    <n v="10286"/>
    <n v="0"/>
    <n v="0"/>
    <n v="1"/>
    <n v="5"/>
    <n v="5"/>
    <n v="2"/>
    <n v="0"/>
    <n v="53564"/>
    <n v="1"/>
    <n v="19"/>
    <s v="Production Technician I"/>
    <s v="MA"/>
    <n v="2458"/>
    <d v="1988-03-17T00:00:00"/>
    <s v="M "/>
    <s v="Single"/>
    <s v="US Citizen"/>
    <s v="No"/>
    <s v="Black or African American"/>
    <d v="2011-01-10T00:00:00"/>
    <d v="2017-12-28T00:00:00"/>
    <x v="1"/>
    <s v="Voluntarily Terminated"/>
    <x v="0"/>
    <x v="4"/>
    <n v="39"/>
    <s v="Google Search"/>
    <s v="Needs Improvement"/>
    <n v="3.54"/>
    <n v="5"/>
    <n v="0"/>
    <d v="2017-04-06T00:00:00"/>
    <n v="4"/>
    <n v="15"/>
  </r>
  <r>
    <s v="Pelletier, Ermine"/>
    <n v="10297"/>
    <n v="1"/>
    <n v="1"/>
    <n v="0"/>
    <n v="5"/>
    <n v="5"/>
    <n v="2"/>
    <n v="0"/>
    <n v="60270"/>
    <n v="1"/>
    <n v="20"/>
    <s v="Production Technician II"/>
    <s v="MA"/>
    <n v="2472"/>
    <d v="1989-07-18T00:00:00"/>
    <s v="F"/>
    <s v="Married"/>
    <s v="US Citizen"/>
    <s v="No"/>
    <s v="Asian"/>
    <d v="2011-07-05T00:00:00"/>
    <d v="2015-09-15T00:00:00"/>
    <x v="5"/>
    <s v="Voluntarily Terminated"/>
    <x v="0"/>
    <x v="5"/>
    <n v="11"/>
    <s v="CareerBuilder"/>
    <s v="Needs Improvement"/>
    <n v="2.4"/>
    <n v="5"/>
    <n v="0"/>
    <d v="2015-02-06T00:00:00"/>
    <n v="5"/>
    <n v="2"/>
  </r>
  <r>
    <s v="Perry, Shakira"/>
    <n v="10171"/>
    <n v="0"/>
    <n v="0"/>
    <n v="0"/>
    <n v="5"/>
    <n v="5"/>
    <n v="3"/>
    <n v="0"/>
    <n v="45998"/>
    <n v="1"/>
    <n v="19"/>
    <s v="Production Technician I"/>
    <s v="MA"/>
    <n v="2176"/>
    <d v="1986-07-20T00:00:00"/>
    <s v="F"/>
    <s v="Single"/>
    <s v="US Citizen"/>
    <s v="No"/>
    <s v="White"/>
    <d v="2011-05-16T00:00:00"/>
    <d v="2015-10-25T00:00:00"/>
    <x v="16"/>
    <s v="Voluntarily Terminated"/>
    <x v="0"/>
    <x v="5"/>
    <n v="11"/>
    <s v="LinkedIn"/>
    <s v="Fully Meets"/>
    <n v="3.45"/>
    <n v="4"/>
    <n v="0"/>
    <d v="2014-05-13T00:00:00"/>
    <n v="0"/>
    <n v="5"/>
  </r>
  <r>
    <s v="Peters, Lauren"/>
    <n v="10032"/>
    <n v="1"/>
    <n v="1"/>
    <n v="0"/>
    <n v="5"/>
    <n v="5"/>
    <n v="4"/>
    <n v="0"/>
    <n v="57954"/>
    <n v="1"/>
    <n v="20"/>
    <s v="Production Technician II"/>
    <s v="MA"/>
    <n v="1886"/>
    <d v="1986-08-17T00:00:00"/>
    <s v="F"/>
    <s v="Married"/>
    <s v="US Citizen"/>
    <s v="No"/>
    <s v="White"/>
    <d v="2011-05-16T00:00:00"/>
    <d v="2013-02-04T00:00:00"/>
    <x v="11"/>
    <s v="Voluntarily Terminated"/>
    <x v="0"/>
    <x v="7"/>
    <n v="19"/>
    <s v="Indeed"/>
    <s v="Exceeds"/>
    <n v="4.2"/>
    <n v="5"/>
    <n v="0"/>
    <d v="2013-01-10T00:00:00"/>
    <n v="0"/>
    <n v="12"/>
  </r>
  <r>
    <s v="Peterson, Ebonee  "/>
    <n v="10130"/>
    <n v="1"/>
    <n v="1"/>
    <n v="0"/>
    <n v="5"/>
    <n v="5"/>
    <n v="3"/>
    <n v="0"/>
    <n v="74669"/>
    <n v="1"/>
    <n v="18"/>
    <s v="Production Manager"/>
    <s v="MA"/>
    <n v="2030"/>
    <d v="1977-05-09T00:00:00"/>
    <s v="F"/>
    <s v="Married"/>
    <s v="US Citizen"/>
    <s v="No"/>
    <s v="White"/>
    <d v="2010-10-25T00:00:00"/>
    <d v="2016-05-18T00:00:00"/>
    <x v="4"/>
    <s v="Voluntarily Terminated"/>
    <x v="0"/>
    <x v="13"/>
    <n v="2"/>
    <s v="Indeed"/>
    <s v="Fully Meets"/>
    <n v="4.16"/>
    <n v="5"/>
    <n v="0"/>
    <d v="2015-03-05T00:00:00"/>
    <n v="0"/>
    <n v="6"/>
  </r>
  <r>
    <s v="Petingill, Shana  "/>
    <n v="10217"/>
    <n v="1"/>
    <n v="1"/>
    <n v="0"/>
    <n v="1"/>
    <n v="5"/>
    <n v="3"/>
    <n v="0"/>
    <n v="74226"/>
    <n v="0"/>
    <n v="20"/>
    <s v="Production Technician II"/>
    <s v="MA"/>
    <n v="2050"/>
    <d v="1979-03-10T00:00:00"/>
    <s v="F"/>
    <s v="Married"/>
    <s v="Eligible NonCitizen"/>
    <s v="No"/>
    <s v="Asian"/>
    <d v="2012-04-02T00:00:00"/>
    <m/>
    <x v="0"/>
    <s v="Active"/>
    <x v="0"/>
    <x v="8"/>
    <n v="12"/>
    <s v="LinkedIn"/>
    <s v="Fully Meets"/>
    <n v="4.3"/>
    <n v="3"/>
    <n v="0"/>
    <d v="2019-01-14T00:00:00"/>
    <n v="0"/>
    <n v="14"/>
  </r>
  <r>
    <s v="Petrowsky, Thelma"/>
    <n v="10016"/>
    <n v="1"/>
    <n v="1"/>
    <n v="0"/>
    <n v="1"/>
    <n v="3"/>
    <n v="4"/>
    <n v="0"/>
    <n v="93554"/>
    <n v="0"/>
    <n v="9"/>
    <s v="Data Analyst"/>
    <s v="MA"/>
    <n v="1886"/>
    <d v="1984-09-16T00:00:00"/>
    <s v="F"/>
    <s v="Married"/>
    <s v="US Citizen"/>
    <s v="No"/>
    <s v="Black or African American"/>
    <d v="2014-11-10T00:00:00"/>
    <m/>
    <x v="0"/>
    <s v="Active"/>
    <x v="1"/>
    <x v="1"/>
    <n v="4"/>
    <s v="Employee Referral"/>
    <s v="Exceeds"/>
    <n v="4.5999999999999996"/>
    <n v="5"/>
    <n v="7"/>
    <d v="2019-01-04T00:00:00"/>
    <n v="0"/>
    <n v="16"/>
  </r>
  <r>
    <s v="Pham, Hong"/>
    <n v="10050"/>
    <n v="1"/>
    <n v="1"/>
    <n v="1"/>
    <n v="5"/>
    <n v="5"/>
    <n v="3"/>
    <n v="0"/>
    <n v="64724"/>
    <n v="1"/>
    <n v="19"/>
    <s v="Production Technician I"/>
    <s v="MA"/>
    <n v="2451"/>
    <d v="1988-03-06T00:00:00"/>
    <s v="M "/>
    <s v="Married"/>
    <s v="US Citizen"/>
    <s v="No"/>
    <s v="Asian"/>
    <d v="2011-07-05T00:00:00"/>
    <d v="2012-11-30T00:00:00"/>
    <x v="11"/>
    <s v="Voluntarily Terminated"/>
    <x v="0"/>
    <x v="8"/>
    <n v="12"/>
    <s v="Google Search"/>
    <s v="Fully Meets"/>
    <n v="5"/>
    <n v="3"/>
    <n v="0"/>
    <d v="2012-02-20T00:00:00"/>
    <n v="0"/>
    <n v="13"/>
  </r>
  <r>
    <s v="Pitt, Brad "/>
    <n v="10164"/>
    <n v="0"/>
    <n v="0"/>
    <n v="1"/>
    <n v="1"/>
    <n v="5"/>
    <n v="3"/>
    <n v="0"/>
    <n v="47001"/>
    <n v="0"/>
    <n v="19"/>
    <s v="Production Technician I"/>
    <s v="MA"/>
    <n v="2451"/>
    <d v="1981-11-23T00:00:00"/>
    <s v="M "/>
    <s v="Single"/>
    <s v="US Citizen"/>
    <s v="No"/>
    <s v="White"/>
    <d v="2007-11-05T00:00:00"/>
    <m/>
    <x v="0"/>
    <s v="Active"/>
    <x v="0"/>
    <x v="10"/>
    <n v="14"/>
    <s v="Google Search"/>
    <s v="Fully Meets"/>
    <n v="3.66"/>
    <n v="3"/>
    <n v="0"/>
    <d v="2019-02-25T00:00:00"/>
    <n v="0"/>
    <n v="15"/>
  </r>
  <r>
    <s v="Potts, Xana"/>
    <n v="10124"/>
    <n v="1"/>
    <n v="1"/>
    <n v="0"/>
    <n v="1"/>
    <n v="6"/>
    <n v="3"/>
    <n v="0"/>
    <n v="61844"/>
    <n v="0"/>
    <n v="3"/>
    <s v="Area Sales Manager"/>
    <s v="KY"/>
    <n v="40220"/>
    <d v="1988-08-29T00:00:00"/>
    <s v="F"/>
    <s v="Married"/>
    <s v="US Citizen"/>
    <s v="No"/>
    <s v="Black or African American"/>
    <d v="2012-01-09T00:00:00"/>
    <m/>
    <x v="0"/>
    <s v="Active"/>
    <x v="4"/>
    <x v="16"/>
    <n v="21"/>
    <s v="Website"/>
    <s v="Fully Meets"/>
    <n v="4.2"/>
    <n v="5"/>
    <n v="0"/>
    <d v="2019-02-01T00:00:00"/>
    <n v="0"/>
    <n v="9"/>
  </r>
  <r>
    <s v="Power, Morissa"/>
    <n v="10187"/>
    <n v="0"/>
    <n v="2"/>
    <n v="0"/>
    <n v="5"/>
    <n v="5"/>
    <n v="3"/>
    <n v="0"/>
    <n v="46799"/>
    <n v="1"/>
    <n v="19"/>
    <s v="Production Technician I"/>
    <s v="MA"/>
    <n v="1742"/>
    <d v="1984-10-15T00:00:00"/>
    <s v="F"/>
    <s v="Divorced"/>
    <s v="Eligible NonCitizen"/>
    <s v="No"/>
    <s v="Asian"/>
    <d v="2011-05-16T00:00:00"/>
    <d v="2018-06-04T00:00:00"/>
    <x v="4"/>
    <s v="Voluntarily Terminated"/>
    <x v="0"/>
    <x v="2"/>
    <n v="20"/>
    <s v="Google Search"/>
    <s v="Fully Meets"/>
    <n v="3.17"/>
    <n v="4"/>
    <n v="0"/>
    <d v="2018-04-02T00:00:00"/>
    <n v="0"/>
    <n v="14"/>
  </r>
  <r>
    <s v="Punjabhi, Louis  "/>
    <n v="10225"/>
    <n v="0"/>
    <n v="0"/>
    <n v="1"/>
    <n v="1"/>
    <n v="5"/>
    <n v="3"/>
    <n v="0"/>
    <n v="59472"/>
    <n v="0"/>
    <n v="19"/>
    <s v="Production Technician I"/>
    <s v="MA"/>
    <n v="2109"/>
    <d v="1961-06-19T00:00:00"/>
    <s v="M "/>
    <s v="Single"/>
    <s v="US Citizen"/>
    <s v="No"/>
    <s v="White"/>
    <d v="2014-01-06T00:00:00"/>
    <m/>
    <x v="0"/>
    <s v="Active"/>
    <x v="0"/>
    <x v="11"/>
    <n v="18"/>
    <s v="Employee Referral"/>
    <s v="Fully Meets"/>
    <n v="4.8"/>
    <n v="3"/>
    <n v="0"/>
    <d v="2019-01-07T00:00:00"/>
    <n v="0"/>
    <n v="14"/>
  </r>
  <r>
    <s v="Purinton, Janine"/>
    <n v="10262"/>
    <n v="0"/>
    <n v="2"/>
    <n v="0"/>
    <n v="5"/>
    <n v="5"/>
    <n v="3"/>
    <n v="0"/>
    <n v="46430"/>
    <n v="1"/>
    <n v="19"/>
    <s v="Production Technician I"/>
    <s v="MA"/>
    <n v="2474"/>
    <d v="1970-09-22T00:00:00"/>
    <s v="F"/>
    <s v="Divorced"/>
    <s v="US Citizen"/>
    <s v="No"/>
    <s v="White"/>
    <d v="2012-09-24T00:00:00"/>
    <d v="2013-06-18T00:00:00"/>
    <x v="5"/>
    <s v="Voluntarily Terminated"/>
    <x v="0"/>
    <x v="2"/>
    <n v="20"/>
    <s v="Indeed"/>
    <s v="Fully Meets"/>
    <n v="4.5"/>
    <n v="5"/>
    <n v="0"/>
    <d v="2013-04-02T00:00:00"/>
    <n v="0"/>
    <n v="16"/>
  </r>
  <r>
    <s v="Quinn, Sean"/>
    <n v="10131"/>
    <n v="1"/>
    <n v="1"/>
    <n v="1"/>
    <n v="5"/>
    <n v="1"/>
    <n v="3"/>
    <n v="1"/>
    <n v="83363"/>
    <n v="1"/>
    <n v="23"/>
    <s v="Software Engineer"/>
    <s v="MA"/>
    <n v="2045"/>
    <d v="1984-11-06T00:00:00"/>
    <s v="M "/>
    <s v="Married"/>
    <s v="Eligible NonCitizen"/>
    <s v="No"/>
    <s v="Black or African American"/>
    <d v="2011-02-21T00:00:00"/>
    <d v="2015-08-15T00:00:00"/>
    <x v="1"/>
    <s v="Voluntarily Terminated"/>
    <x v="2"/>
    <x v="13"/>
    <n v="2"/>
    <s v="Diversity Job Fair"/>
    <s v="Fully Meets"/>
    <n v="4.1500000000000004"/>
    <n v="4"/>
    <n v="0"/>
    <d v="2014-04-19T00:00:00"/>
    <n v="0"/>
    <n v="4"/>
  </r>
  <r>
    <s v="Rachael, Maggie"/>
    <n v="10239"/>
    <n v="1"/>
    <n v="1"/>
    <n v="0"/>
    <n v="1"/>
    <n v="3"/>
    <n v="3"/>
    <n v="0"/>
    <n v="95920"/>
    <n v="0"/>
    <n v="4"/>
    <s v="BI Developer"/>
    <s v="MA"/>
    <n v="2110"/>
    <d v="1980-05-12T00:00:00"/>
    <s v="F"/>
    <s v="Married"/>
    <s v="US Citizen"/>
    <s v="No"/>
    <s v="Black or African American"/>
    <d v="2016-10-02T00:00:00"/>
    <m/>
    <x v="0"/>
    <s v="Active"/>
    <x v="1"/>
    <x v="19"/>
    <n v="13"/>
    <s v="Indeed"/>
    <s v="Fully Meets"/>
    <n v="4.4000000000000004"/>
    <n v="4"/>
    <n v="6"/>
    <d v="2019-02-06T00:00:00"/>
    <n v="0"/>
    <n v="10"/>
  </r>
  <r>
    <s v="Rarrick, Quinn"/>
    <n v="10152"/>
    <n v="0"/>
    <n v="2"/>
    <n v="1"/>
    <n v="5"/>
    <n v="5"/>
    <n v="3"/>
    <n v="0"/>
    <n v="61729"/>
    <n v="1"/>
    <n v="19"/>
    <s v="Production Technician I"/>
    <s v="MA"/>
    <n v="2478"/>
    <d v="1984-12-31T00:00:00"/>
    <s v="M "/>
    <s v="Divorced"/>
    <s v="US Citizen"/>
    <s v="No"/>
    <s v="White"/>
    <d v="2011-09-26T00:00:00"/>
    <d v="2018-04-07T00:00:00"/>
    <x v="11"/>
    <s v="Voluntarily Terminated"/>
    <x v="0"/>
    <x v="0"/>
    <n v="22"/>
    <s v="Indeed"/>
    <s v="Fully Meets"/>
    <n v="3.8"/>
    <n v="5"/>
    <n v="0"/>
    <d v="2018-02-04T00:00:00"/>
    <n v="0"/>
    <n v="19"/>
  </r>
  <r>
    <s v="Ren, Kylo"/>
    <n v="10140"/>
    <n v="1"/>
    <n v="1"/>
    <n v="1"/>
    <n v="1"/>
    <n v="6"/>
    <n v="3"/>
    <n v="0"/>
    <n v="61809"/>
    <n v="0"/>
    <n v="3"/>
    <s v="Area Sales Manager"/>
    <s v="ID"/>
    <n v="83706"/>
    <d v="1954-10-12T00:00:00"/>
    <s v="M "/>
    <s v="Married"/>
    <s v="US Citizen"/>
    <s v="No"/>
    <s v="White"/>
    <d v="2014-05-12T00:00:00"/>
    <m/>
    <x v="0"/>
    <s v="Active"/>
    <x v="4"/>
    <x v="14"/>
    <n v="17"/>
    <s v="CareerBuilder"/>
    <s v="Fully Meets"/>
    <n v="3.98"/>
    <n v="3"/>
    <n v="0"/>
    <d v="2019-01-28T00:00:00"/>
    <n v="0"/>
    <n v="4"/>
  </r>
  <r>
    <s v="Rhoads, Thomas"/>
    <n v="10058"/>
    <n v="0"/>
    <n v="2"/>
    <n v="1"/>
    <n v="5"/>
    <n v="5"/>
    <n v="3"/>
    <n v="0"/>
    <n v="45115"/>
    <n v="1"/>
    <n v="19"/>
    <s v="Production Technician I"/>
    <s v="MA"/>
    <n v="2176"/>
    <d v="1982-07-22T00:00:00"/>
    <s v="M "/>
    <s v="Divorced"/>
    <s v="US Citizen"/>
    <s v="Yes"/>
    <s v="White"/>
    <d v="2011-05-16T00:00:00"/>
    <d v="2016-01-15T00:00:00"/>
    <x v="9"/>
    <s v="Voluntarily Terminated"/>
    <x v="0"/>
    <x v="3"/>
    <n v="16"/>
    <s v="LinkedIn"/>
    <s v="Fully Meets"/>
    <n v="5"/>
    <n v="4"/>
    <n v="0"/>
    <d v="2015-03-30T00:00:00"/>
    <n v="0"/>
    <n v="11"/>
  </r>
  <r>
    <s v="Rivera, Haley  "/>
    <n v="10011"/>
    <n v="1"/>
    <n v="1"/>
    <n v="0"/>
    <n v="1"/>
    <n v="5"/>
    <n v="4"/>
    <n v="0"/>
    <n v="46738"/>
    <n v="0"/>
    <n v="19"/>
    <s v="Production Technician I"/>
    <s v="MA"/>
    <n v="2171"/>
    <d v="1973-01-12T00:00:00"/>
    <s v="F"/>
    <s v="Married"/>
    <s v="US Citizen"/>
    <s v="No"/>
    <s v="Asian"/>
    <d v="2011-11-28T00:00:00"/>
    <m/>
    <x v="0"/>
    <s v="Active"/>
    <x v="0"/>
    <x v="4"/>
    <m/>
    <s v="Google Search"/>
    <s v="Exceeds"/>
    <n v="4.3600000000000003"/>
    <n v="5"/>
    <n v="0"/>
    <d v="2019-02-11T00:00:00"/>
    <n v="0"/>
    <n v="16"/>
  </r>
  <r>
    <s v="Roberson, May"/>
    <n v="10230"/>
    <n v="0"/>
    <n v="2"/>
    <n v="0"/>
    <n v="5"/>
    <n v="5"/>
    <n v="3"/>
    <n v="0"/>
    <n v="64971"/>
    <n v="1"/>
    <n v="20"/>
    <s v="Production Technician II"/>
    <s v="MA"/>
    <n v="1902"/>
    <d v="1981-09-05T00:00:00"/>
    <s v="F"/>
    <s v="Divorced"/>
    <s v="Eligible NonCitizen"/>
    <s v="No"/>
    <s v="Black or African American"/>
    <d v="2011-09-26T00:00:00"/>
    <d v="2011-10-22T00:00:00"/>
    <x v="3"/>
    <s v="Voluntarily Terminated"/>
    <x v="0"/>
    <x v="10"/>
    <n v="14"/>
    <s v="Google Search"/>
    <s v="Fully Meets"/>
    <n v="4.5"/>
    <n v="4"/>
    <n v="0"/>
    <d v="2011-10-22T00:00:00"/>
    <n v="0"/>
    <n v="10"/>
  </r>
  <r>
    <s v="Robertson, Peter"/>
    <n v="10224"/>
    <n v="1"/>
    <n v="1"/>
    <n v="1"/>
    <n v="5"/>
    <n v="5"/>
    <n v="3"/>
    <n v="0"/>
    <n v="55578"/>
    <n v="1"/>
    <n v="20"/>
    <s v="Production Technician II"/>
    <s v="MA"/>
    <n v="2138"/>
    <d v="1972-07-03T00:00:00"/>
    <s v="M "/>
    <s v="Married"/>
    <s v="US Citizen"/>
    <s v="No"/>
    <s v="White"/>
    <d v="2011-07-05T00:00:00"/>
    <d v="2012-02-08T00:00:00"/>
    <x v="4"/>
    <s v="Voluntarily Terminated"/>
    <x v="0"/>
    <x v="2"/>
    <n v="20"/>
    <s v="Indeed"/>
    <s v="Fully Meets"/>
    <n v="4.2"/>
    <n v="5"/>
    <n v="0"/>
    <d v="2012-01-06T00:00:00"/>
    <n v="0"/>
    <n v="13"/>
  </r>
  <r>
    <s v="Robinson, Alain  "/>
    <n v="10047"/>
    <n v="1"/>
    <n v="1"/>
    <n v="1"/>
    <n v="5"/>
    <n v="5"/>
    <n v="3"/>
    <n v="0"/>
    <n v="50428"/>
    <n v="1"/>
    <n v="19"/>
    <s v="Production Technician I"/>
    <s v="MA"/>
    <n v="1420"/>
    <d v="1974-01-07T00:00:00"/>
    <s v="M "/>
    <s v="Married"/>
    <s v="US Citizen"/>
    <s v="No"/>
    <s v="Black or African American"/>
    <d v="2011-01-10T00:00:00"/>
    <d v="2016-01-26T00:00:00"/>
    <x v="6"/>
    <s v="Voluntarily Terminated"/>
    <x v="0"/>
    <x v="5"/>
    <n v="11"/>
    <s v="Indeed"/>
    <s v="Fully Meets"/>
    <n v="5"/>
    <n v="3"/>
    <n v="0"/>
    <d v="2015-01-10T00:00:00"/>
    <n v="0"/>
    <n v="11"/>
  </r>
  <r>
    <s v="Robinson, Cherly"/>
    <n v="10285"/>
    <n v="1"/>
    <n v="1"/>
    <n v="0"/>
    <n v="4"/>
    <n v="5"/>
    <n v="2"/>
    <n v="0"/>
    <n v="61422"/>
    <n v="1"/>
    <n v="19"/>
    <s v="Production Technician I"/>
    <s v="MA"/>
    <n v="1460"/>
    <d v="1985-01-07T00:00:00"/>
    <s v="F"/>
    <s v="Married"/>
    <s v="US Citizen"/>
    <s v="No"/>
    <s v="White"/>
    <d v="2011-01-10T00:00:00"/>
    <d v="2016-05-17T00:00:00"/>
    <x v="6"/>
    <s v="Terminated for Cause"/>
    <x v="0"/>
    <x v="7"/>
    <n v="19"/>
    <s v="Indeed"/>
    <s v="Needs Improvement"/>
    <n v="3.6"/>
    <n v="3"/>
    <n v="0"/>
    <d v="2016-04-05T00:00:00"/>
    <n v="4"/>
    <n v="16"/>
  </r>
  <r>
    <s v="Robinson, Elias"/>
    <n v="10020"/>
    <n v="0"/>
    <n v="4"/>
    <n v="1"/>
    <n v="1"/>
    <n v="5"/>
    <n v="4"/>
    <n v="0"/>
    <n v="63353"/>
    <n v="0"/>
    <n v="19"/>
    <s v="Production Technician I"/>
    <s v="MA"/>
    <n v="1730"/>
    <d v="1985-01-28T00:00:00"/>
    <s v="M "/>
    <s v="Widowed"/>
    <s v="US Citizen"/>
    <s v="No"/>
    <s v="White"/>
    <d v="2013-07-08T00:00:00"/>
    <m/>
    <x v="0"/>
    <s v="Active"/>
    <x v="0"/>
    <x v="8"/>
    <n v="12"/>
    <s v="Employee Referral"/>
    <s v="Exceeds"/>
    <n v="3.6"/>
    <n v="5"/>
    <n v="0"/>
    <d v="2019-02-11T00:00:00"/>
    <n v="0"/>
    <n v="4"/>
  </r>
  <r>
    <s v="Roby, Lori "/>
    <n v="10162"/>
    <n v="1"/>
    <n v="1"/>
    <n v="0"/>
    <n v="1"/>
    <n v="3"/>
    <n v="3"/>
    <n v="0"/>
    <n v="89883"/>
    <n v="0"/>
    <n v="9"/>
    <s v="Data Analyst"/>
    <s v="MA"/>
    <n v="1886"/>
    <d v="1981-10-11T00:00:00"/>
    <s v="F"/>
    <s v="Married"/>
    <s v="US Citizen"/>
    <s v="No"/>
    <s v="White"/>
    <d v="2015-02-16T00:00:00"/>
    <m/>
    <x v="0"/>
    <s v="Active"/>
    <x v="1"/>
    <x v="1"/>
    <n v="4"/>
    <s v="Employee Referral"/>
    <s v="Fully Meets"/>
    <n v="3.69"/>
    <n v="5"/>
    <n v="6"/>
    <d v="2019-02-14T00:00:00"/>
    <n v="0"/>
    <n v="15"/>
  </r>
  <r>
    <s v="Roehrich, Bianca"/>
    <n v="10149"/>
    <n v="0"/>
    <n v="0"/>
    <n v="0"/>
    <n v="5"/>
    <n v="3"/>
    <n v="3"/>
    <n v="0"/>
    <n v="120000"/>
    <n v="1"/>
    <n v="29"/>
    <s v="Principal Data Architect"/>
    <s v="MA"/>
    <n v="2703"/>
    <d v="1973-05-27T00:00:00"/>
    <s v="F"/>
    <s v="Single"/>
    <s v="US Citizen"/>
    <s v="Yes"/>
    <s v="White"/>
    <d v="2015-01-05T00:00:00"/>
    <d v="2018-11-10T00:00:00"/>
    <x v="4"/>
    <s v="Voluntarily Terminated"/>
    <x v="1"/>
    <x v="1"/>
    <n v="4"/>
    <s v="LinkedIn"/>
    <s v="Fully Meets"/>
    <n v="3.88"/>
    <n v="3"/>
    <n v="7"/>
    <d v="2018-02-13T00:00:00"/>
    <n v="0"/>
    <n v="12"/>
  </r>
  <r>
    <s v="Roper, Katie"/>
    <n v="10086"/>
    <n v="0"/>
    <n v="0"/>
    <n v="0"/>
    <n v="1"/>
    <n v="3"/>
    <n v="3"/>
    <n v="0"/>
    <n v="150290"/>
    <n v="0"/>
    <n v="7"/>
    <s v="Data Architect"/>
    <s v="MA"/>
    <n v="2056"/>
    <d v="1972-11-21T00:00:00"/>
    <s v="F"/>
    <s v="Single"/>
    <s v="US Citizen"/>
    <s v="No"/>
    <s v="Black or African American"/>
    <d v="2017-01-07T00:00:00"/>
    <m/>
    <x v="0"/>
    <s v="Active"/>
    <x v="1"/>
    <x v="19"/>
    <n v="13"/>
    <s v="Indeed"/>
    <s v="Fully Meets"/>
    <n v="4.9400000000000004"/>
    <n v="3"/>
    <n v="5"/>
    <d v="2019-02-06T00:00:00"/>
    <n v="0"/>
    <n v="17"/>
  </r>
  <r>
    <s v="Rose, Ashley  "/>
    <n v="10054"/>
    <n v="0"/>
    <n v="3"/>
    <n v="0"/>
    <n v="1"/>
    <n v="5"/>
    <n v="3"/>
    <n v="0"/>
    <n v="60627"/>
    <n v="0"/>
    <n v="19"/>
    <s v="Production Technician I"/>
    <s v="MA"/>
    <n v="1886"/>
    <d v="1974-12-05T00:00:00"/>
    <s v="F"/>
    <s v="Separated"/>
    <s v="US Citizen"/>
    <s v="No"/>
    <s v="White"/>
    <d v="2014-01-06T00:00:00"/>
    <m/>
    <x v="0"/>
    <s v="Active"/>
    <x v="0"/>
    <x v="10"/>
    <n v="14"/>
    <s v="Website"/>
    <s v="Fully Meets"/>
    <n v="5"/>
    <n v="4"/>
    <n v="0"/>
    <d v="2019-01-31T00:00:00"/>
    <n v="0"/>
    <n v="8"/>
  </r>
  <r>
    <s v="Rossetti, Bruno"/>
    <n v="10065"/>
    <n v="0"/>
    <n v="0"/>
    <n v="1"/>
    <n v="5"/>
    <n v="5"/>
    <n v="3"/>
    <n v="0"/>
    <n v="53180"/>
    <n v="1"/>
    <n v="19"/>
    <s v="Production Technician I"/>
    <s v="MA"/>
    <n v="2155"/>
    <d v="1987-03-18T00:00:00"/>
    <s v="M "/>
    <s v="Single"/>
    <s v="US Citizen"/>
    <s v="No"/>
    <s v="White"/>
    <d v="2011-04-04T00:00:00"/>
    <d v="2018-08-13T00:00:00"/>
    <x v="4"/>
    <s v="Voluntarily Terminated"/>
    <x v="0"/>
    <x v="2"/>
    <n v="20"/>
    <s v="Google Search"/>
    <s v="Fully Meets"/>
    <n v="5"/>
    <n v="5"/>
    <n v="0"/>
    <d v="2018-07-02T00:00:00"/>
    <n v="0"/>
    <n v="4"/>
  </r>
  <r>
    <s v="Roup,Simon"/>
    <n v="10198"/>
    <n v="0"/>
    <n v="0"/>
    <n v="1"/>
    <n v="1"/>
    <n v="3"/>
    <n v="3"/>
    <n v="0"/>
    <n v="140920"/>
    <n v="0"/>
    <n v="13"/>
    <s v="IT Manager - DB"/>
    <s v="MA"/>
    <n v="2481"/>
    <d v="1973-04-05T00:00:00"/>
    <s v="M "/>
    <s v="Single"/>
    <s v="US Citizen"/>
    <s v="No"/>
    <s v="White"/>
    <d v="2013-01-20T00:00:00"/>
    <m/>
    <x v="0"/>
    <s v="Active"/>
    <x v="1"/>
    <x v="15"/>
    <n v="5"/>
    <s v="Indeed"/>
    <s v="Fully Meets"/>
    <n v="3.6"/>
    <n v="5"/>
    <n v="7"/>
    <d v="2019-02-18T00:00:00"/>
    <n v="0"/>
    <n v="13"/>
  </r>
  <r>
    <s v="Ruiz, Ricardo"/>
    <n v="10222"/>
    <n v="0"/>
    <n v="2"/>
    <n v="1"/>
    <n v="5"/>
    <n v="3"/>
    <n v="3"/>
    <n v="1"/>
    <n v="148999"/>
    <n v="1"/>
    <n v="13"/>
    <s v="IT Manager - DB"/>
    <s v="MA"/>
    <n v="1915"/>
    <d v="1964-01-04T00:00:00"/>
    <s v="M "/>
    <s v="Divorced"/>
    <s v="US Citizen"/>
    <s v="No"/>
    <s v="Black or African American"/>
    <d v="2012-01-09T00:00:00"/>
    <d v="2015-11-04T00:00:00"/>
    <x v="2"/>
    <s v="Voluntarily Terminated"/>
    <x v="1"/>
    <x v="15"/>
    <n v="5"/>
    <s v="Diversity Job Fair"/>
    <s v="Fully Meets"/>
    <n v="4.3"/>
    <n v="4"/>
    <n v="6"/>
    <d v="2015-01-04T00:00:00"/>
    <n v="0"/>
    <n v="8"/>
  </r>
  <r>
    <s v="Saada, Adell"/>
    <n v="10126"/>
    <n v="1"/>
    <n v="1"/>
    <n v="0"/>
    <n v="1"/>
    <n v="4"/>
    <n v="3"/>
    <n v="0"/>
    <n v="86214"/>
    <n v="0"/>
    <n v="24"/>
    <s v="Software Engineer"/>
    <s v="MA"/>
    <n v="2132"/>
    <d v="1986-07-24T00:00:00"/>
    <s v="F"/>
    <s v="Married"/>
    <s v="US Citizen"/>
    <s v="No"/>
    <s v="White"/>
    <d v="2012-11-05T00:00:00"/>
    <m/>
    <x v="0"/>
    <s v="Active"/>
    <x v="2"/>
    <x v="6"/>
    <n v="10"/>
    <s v="Indeed"/>
    <s v="Fully Meets"/>
    <n v="4.2"/>
    <n v="3"/>
    <n v="6"/>
    <d v="2019-02-13T00:00:00"/>
    <n v="0"/>
    <n v="2"/>
  </r>
  <r>
    <s v="Saar-Beckles, Melinda"/>
    <n v="10295"/>
    <n v="0"/>
    <n v="0"/>
    <n v="0"/>
    <n v="2"/>
    <n v="5"/>
    <n v="2"/>
    <n v="1"/>
    <n v="47750"/>
    <n v="0"/>
    <n v="19"/>
    <s v="Production Technician I"/>
    <s v="MA"/>
    <n v="1801"/>
    <d v="1968-06-06T00:00:00"/>
    <s v="F"/>
    <s v="Single"/>
    <s v="US Citizen"/>
    <s v="No"/>
    <s v="Black or African American"/>
    <d v="2016-07-04T00:00:00"/>
    <m/>
    <x v="0"/>
    <s v="Active"/>
    <x v="0"/>
    <x v="11"/>
    <n v="18"/>
    <s v="Diversity Job Fair"/>
    <s v="Needs Improvement"/>
    <n v="2.6"/>
    <n v="4"/>
    <n v="0"/>
    <d v="2019-02-18T00:00:00"/>
    <n v="5"/>
    <n v="4"/>
  </r>
  <r>
    <s v="Sadki, Nore  "/>
    <n v="10260"/>
    <n v="0"/>
    <n v="0"/>
    <n v="1"/>
    <n v="5"/>
    <n v="5"/>
    <n v="3"/>
    <n v="0"/>
    <n v="46428"/>
    <n v="1"/>
    <n v="19"/>
    <s v="Production Technician I"/>
    <s v="MA"/>
    <n v="2148"/>
    <d v="1974-12-21T00:00:00"/>
    <s v="M "/>
    <s v="Single"/>
    <s v="US Citizen"/>
    <s v="No"/>
    <s v="White"/>
    <d v="2009-01-05T00:00:00"/>
    <d v="2018-07-30T00:00:00"/>
    <x v="10"/>
    <s v="Voluntarily Terminated"/>
    <x v="0"/>
    <x v="0"/>
    <n v="22"/>
    <s v="Google Search"/>
    <s v="Fully Meets"/>
    <n v="4.5999999999999996"/>
    <n v="5"/>
    <n v="0"/>
    <d v="2018-02-05T00:00:00"/>
    <n v="0"/>
    <n v="7"/>
  </r>
  <r>
    <s v="Sahoo, Adil"/>
    <n v="10233"/>
    <n v="1"/>
    <n v="1"/>
    <n v="1"/>
    <n v="1"/>
    <n v="5"/>
    <n v="3"/>
    <n v="0"/>
    <n v="57975"/>
    <n v="0"/>
    <n v="20"/>
    <s v="Production Technician II"/>
    <s v="MA"/>
    <n v="2062"/>
    <d v="1986-04-26T00:00:00"/>
    <s v="M "/>
    <s v="Married"/>
    <s v="US Citizen"/>
    <s v="No"/>
    <s v="White"/>
    <d v="2010-08-30T00:00:00"/>
    <m/>
    <x v="0"/>
    <s v="Active"/>
    <x v="0"/>
    <x v="11"/>
    <n v="18"/>
    <s v="CareerBuilder"/>
    <s v="Fully Meets"/>
    <n v="4.0999999999999996"/>
    <n v="3"/>
    <n v="0"/>
    <d v="2019-01-10T00:00:00"/>
    <n v="0"/>
    <n v="13"/>
  </r>
  <r>
    <s v="Salter, Jason"/>
    <n v="10229"/>
    <n v="0"/>
    <n v="2"/>
    <n v="1"/>
    <n v="5"/>
    <n v="3"/>
    <n v="3"/>
    <n v="0"/>
    <n v="88527"/>
    <n v="1"/>
    <n v="9"/>
    <s v="Data Analyst "/>
    <s v="MA"/>
    <n v="2452"/>
    <d v="1987-12-17T00:00:00"/>
    <s v="M "/>
    <s v="Divorced"/>
    <s v="US Citizen"/>
    <s v="No"/>
    <s v="Black or African American"/>
    <d v="2015-01-05T00:00:00"/>
    <d v="2015-10-31T00:00:00"/>
    <x v="2"/>
    <s v="Voluntarily Terminated"/>
    <x v="1"/>
    <x v="1"/>
    <n v="4"/>
    <s v="LinkedIn"/>
    <s v="Fully Meets"/>
    <n v="4.2"/>
    <n v="3"/>
    <n v="5"/>
    <d v="2015-04-20T00:00:00"/>
    <n v="0"/>
    <n v="2"/>
  </r>
  <r>
    <s v="Sander, Kamrin"/>
    <n v="10169"/>
    <n v="1"/>
    <n v="1"/>
    <n v="0"/>
    <n v="1"/>
    <n v="5"/>
    <n v="3"/>
    <n v="0"/>
    <n v="56147"/>
    <n v="0"/>
    <n v="19"/>
    <s v="Production Technician I"/>
    <s v="MA"/>
    <n v="2154"/>
    <d v="1988-07-10T00:00:00"/>
    <s v="F"/>
    <s v="Married"/>
    <s v="US Citizen"/>
    <s v="No"/>
    <s v="Black or African American"/>
    <d v="2014-09-29T00:00:00"/>
    <m/>
    <x v="0"/>
    <s v="Active"/>
    <x v="0"/>
    <x v="3"/>
    <n v="16"/>
    <s v="LinkedIn"/>
    <s v="Fully Meets"/>
    <n v="3.51"/>
    <n v="3"/>
    <n v="0"/>
    <d v="2019-02-18T00:00:00"/>
    <n v="0"/>
    <n v="2"/>
  </r>
  <r>
    <s v="Sewkumar, Nori"/>
    <n v="10071"/>
    <n v="0"/>
    <n v="0"/>
    <n v="0"/>
    <n v="3"/>
    <n v="5"/>
    <n v="3"/>
    <n v="0"/>
    <n v="50923"/>
    <n v="0"/>
    <n v="19"/>
    <s v="Production Technician I"/>
    <s v="MA"/>
    <n v="2191"/>
    <d v="1975-03-10T00:00:00"/>
    <s v="F"/>
    <s v="Single"/>
    <s v="US Citizen"/>
    <s v="No"/>
    <s v="Asian"/>
    <d v="2013-09-30T00:00:00"/>
    <m/>
    <x v="0"/>
    <s v="Active"/>
    <x v="0"/>
    <x v="4"/>
    <m/>
    <s v="Google Search"/>
    <s v="Fully Meets"/>
    <n v="5"/>
    <n v="5"/>
    <n v="0"/>
    <d v="2019-02-06T00:00:00"/>
    <n v="0"/>
    <n v="14"/>
  </r>
  <r>
    <s v="Shepard, Anita "/>
    <n v="10179"/>
    <n v="1"/>
    <n v="1"/>
    <n v="0"/>
    <n v="1"/>
    <n v="3"/>
    <n v="3"/>
    <n v="0"/>
    <n v="50750"/>
    <n v="0"/>
    <n v="15"/>
    <s v="Network Engineer"/>
    <s v="MA"/>
    <n v="1773"/>
    <d v="1981-04-14T00:00:00"/>
    <s v="F"/>
    <s v="Married"/>
    <s v="US Citizen"/>
    <s v="No"/>
    <s v="White"/>
    <d v="2014-09-30T00:00:00"/>
    <m/>
    <x v="0"/>
    <s v="Active"/>
    <x v="1"/>
    <x v="9"/>
    <n v="7"/>
    <s v="LinkedIn"/>
    <s v="Fully Meets"/>
    <n v="3.31"/>
    <n v="3"/>
    <n v="6"/>
    <d v="2019-01-07T00:00:00"/>
    <n v="0"/>
    <n v="7"/>
  </r>
  <r>
    <s v="Shields, Seffi"/>
    <n v="10091"/>
    <n v="1"/>
    <n v="1"/>
    <n v="0"/>
    <n v="1"/>
    <n v="5"/>
    <n v="3"/>
    <n v="0"/>
    <n v="52087"/>
    <n v="0"/>
    <n v="19"/>
    <s v="Production Technician I"/>
    <s v="MA"/>
    <n v="2149"/>
    <d v="1985-08-24T00:00:00"/>
    <s v="F"/>
    <s v="Married"/>
    <s v="US Citizen"/>
    <s v="No"/>
    <s v="White"/>
    <d v="2013-08-19T00:00:00"/>
    <m/>
    <x v="0"/>
    <s v="Active"/>
    <x v="0"/>
    <x v="5"/>
    <n v="11"/>
    <s v="LinkedIn"/>
    <s v="Fully Meets"/>
    <n v="4.8099999999999996"/>
    <n v="4"/>
    <n v="0"/>
    <d v="2019-02-15T00:00:00"/>
    <n v="0"/>
    <n v="15"/>
  </r>
  <r>
    <s v="Simard, Kramer"/>
    <n v="10178"/>
    <n v="1"/>
    <n v="1"/>
    <n v="1"/>
    <n v="1"/>
    <n v="3"/>
    <n v="3"/>
    <n v="0"/>
    <n v="87826"/>
    <n v="0"/>
    <n v="9"/>
    <s v="Data Analyst"/>
    <s v="MA"/>
    <n v="2110"/>
    <d v="1970-02-08T00:00:00"/>
    <s v="M "/>
    <s v="Married"/>
    <s v="US Citizen"/>
    <s v="Yes"/>
    <s v="White"/>
    <d v="2015-01-05T00:00:00"/>
    <m/>
    <x v="0"/>
    <s v="Active"/>
    <x v="1"/>
    <x v="1"/>
    <n v="4"/>
    <s v="Employee Referral"/>
    <s v="Fully Meets"/>
    <n v="3.32"/>
    <n v="3"/>
    <n v="7"/>
    <d v="2019-01-14T00:00:00"/>
    <n v="0"/>
    <n v="16"/>
  </r>
  <r>
    <s v="Singh, Nan "/>
    <n v="10039"/>
    <n v="0"/>
    <n v="0"/>
    <n v="0"/>
    <n v="1"/>
    <n v="1"/>
    <n v="3"/>
    <n v="0"/>
    <n v="51920"/>
    <n v="0"/>
    <n v="2"/>
    <s v="Administrative Assistant"/>
    <s v="MA"/>
    <n v="2330"/>
    <d v="1988-05-19T00:00:00"/>
    <s v="F"/>
    <s v="Single"/>
    <s v="US Citizen"/>
    <s v="No"/>
    <s v="White"/>
    <d v="2015-05-01T00:00:00"/>
    <m/>
    <x v="0"/>
    <s v="Active"/>
    <x v="3"/>
    <x v="12"/>
    <n v="1"/>
    <s v="Website"/>
    <s v="Fully Meets"/>
    <n v="5"/>
    <n v="3"/>
    <n v="5"/>
    <d v="2019-01-15T00:00:00"/>
    <n v="0"/>
    <n v="2"/>
  </r>
  <r>
    <s v="Sloan, Constance"/>
    <n v="10095"/>
    <n v="0"/>
    <n v="0"/>
    <n v="0"/>
    <n v="5"/>
    <n v="5"/>
    <n v="3"/>
    <n v="0"/>
    <n v="63878"/>
    <n v="1"/>
    <n v="20"/>
    <s v="Production Technician II"/>
    <s v="MA"/>
    <n v="1851"/>
    <d v="1987-11-25T00:00:00"/>
    <s v="F"/>
    <s v="Single"/>
    <s v="US Citizen"/>
    <s v="No"/>
    <s v="White"/>
    <d v="2009-10-26T00:00:00"/>
    <d v="2015-04-08T00:00:00"/>
    <x v="15"/>
    <s v="Voluntarily Terminated"/>
    <x v="0"/>
    <x v="0"/>
    <n v="22"/>
    <s v="CareerBuilder"/>
    <s v="Fully Meets"/>
    <n v="4.68"/>
    <n v="4"/>
    <n v="0"/>
    <d v="2015-04-02T00:00:00"/>
    <n v="0"/>
    <n v="20"/>
  </r>
  <r>
    <s v="Smith, Joe"/>
    <n v="10027"/>
    <n v="0"/>
    <n v="0"/>
    <n v="1"/>
    <n v="1"/>
    <n v="5"/>
    <n v="4"/>
    <n v="0"/>
    <n v="60656"/>
    <n v="0"/>
    <n v="20"/>
    <s v="Production Technician II"/>
    <s v="MA"/>
    <n v="2045"/>
    <d v="1963-10-30T00:00:00"/>
    <s v="M "/>
    <s v="Single"/>
    <s v="US Citizen"/>
    <s v="No"/>
    <s v="White"/>
    <d v="2014-09-29T00:00:00"/>
    <m/>
    <x v="0"/>
    <s v="Active"/>
    <x v="0"/>
    <x v="3"/>
    <n v="16"/>
    <s v="Indeed"/>
    <s v="Exceeds"/>
    <n v="4.3"/>
    <n v="3"/>
    <n v="0"/>
    <d v="2019-01-28T00:00:00"/>
    <n v="0"/>
    <n v="4"/>
  </r>
  <r>
    <s v="Smith, John"/>
    <n v="10291"/>
    <n v="0"/>
    <n v="2"/>
    <n v="1"/>
    <n v="1"/>
    <n v="6"/>
    <n v="2"/>
    <n v="1"/>
    <n v="72992"/>
    <n v="0"/>
    <n v="21"/>
    <s v="Sales Manager"/>
    <s v="MA"/>
    <n v="1886"/>
    <d v="1984-08-16T00:00:00"/>
    <s v="M "/>
    <s v="Divorced"/>
    <s v="US Citizen"/>
    <s v="No"/>
    <s v="Black or African American"/>
    <d v="2014-05-18T00:00:00"/>
    <m/>
    <x v="0"/>
    <s v="Active"/>
    <x v="4"/>
    <x v="18"/>
    <n v="15"/>
    <s v="Diversity Job Fair"/>
    <s v="Needs Improvement"/>
    <n v="2.4"/>
    <n v="4"/>
    <n v="0"/>
    <d v="2019-01-16T00:00:00"/>
    <n v="2"/>
    <n v="16"/>
  </r>
  <r>
    <s v="Smith, Leigh Ann"/>
    <n v="10153"/>
    <n v="1"/>
    <n v="1"/>
    <n v="0"/>
    <n v="5"/>
    <n v="1"/>
    <n v="3"/>
    <n v="1"/>
    <n v="55000"/>
    <n v="1"/>
    <n v="2"/>
    <s v="Administrative Assistant"/>
    <s v="MA"/>
    <n v="1844"/>
    <d v="1987-06-14T00:00:00"/>
    <s v="F"/>
    <s v="Married"/>
    <s v="US Citizen"/>
    <s v="No"/>
    <s v="Black or African American"/>
    <d v="2011-09-26T00:00:00"/>
    <d v="2013-09-25T00:00:00"/>
    <x v="1"/>
    <s v="Voluntarily Terminated"/>
    <x v="3"/>
    <x v="12"/>
    <n v="1"/>
    <s v="Diversity Job Fair"/>
    <s v="Fully Meets"/>
    <n v="3.8"/>
    <n v="4"/>
    <n v="4"/>
    <d v="2013-08-15T00:00:00"/>
    <n v="0"/>
    <n v="17"/>
  </r>
  <r>
    <s v="Smith, Sade"/>
    <n v="10157"/>
    <n v="0"/>
    <n v="0"/>
    <n v="0"/>
    <n v="1"/>
    <n v="5"/>
    <n v="3"/>
    <n v="0"/>
    <n v="58939"/>
    <n v="0"/>
    <n v="19"/>
    <s v="Production Technician I"/>
    <s v="MA"/>
    <n v="2130"/>
    <d v="1965-02-02T00:00:00"/>
    <s v="F"/>
    <s v="Single"/>
    <s v="US Citizen"/>
    <s v="No"/>
    <s v="White"/>
    <d v="2013-11-11T00:00:00"/>
    <m/>
    <x v="0"/>
    <s v="Active"/>
    <x v="0"/>
    <x v="7"/>
    <n v="19"/>
    <s v="Employee Referral"/>
    <s v="Fully Meets"/>
    <n v="3.73"/>
    <n v="3"/>
    <n v="0"/>
    <d v="2019-01-24T00:00:00"/>
    <n v="0"/>
    <n v="16"/>
  </r>
  <r>
    <s v="Soto, Julia "/>
    <n v="10119"/>
    <n v="1"/>
    <n v="1"/>
    <n v="0"/>
    <n v="1"/>
    <n v="3"/>
    <n v="3"/>
    <n v="0"/>
    <n v="66593"/>
    <n v="0"/>
    <n v="14"/>
    <s v="IT Support"/>
    <s v="MA"/>
    <n v="2360"/>
    <d v="1973-03-12T00:00:00"/>
    <s v="F"/>
    <s v="Married"/>
    <s v="US Citizen"/>
    <s v="No"/>
    <s v="Black or African American"/>
    <d v="2011-06-10T00:00:00"/>
    <m/>
    <x v="0"/>
    <s v="Active"/>
    <x v="1"/>
    <x v="17"/>
    <n v="6"/>
    <s v="LinkedIn"/>
    <s v="Fully Meets"/>
    <n v="4.3"/>
    <n v="3"/>
    <n v="5"/>
    <d v="2019-02-08T00:00:00"/>
    <n v="0"/>
    <n v="19"/>
  </r>
  <r>
    <s v="Soze, Keyser"/>
    <n v="10180"/>
    <n v="1"/>
    <n v="1"/>
    <n v="1"/>
    <n v="2"/>
    <n v="3"/>
    <n v="3"/>
    <n v="0"/>
    <n v="87565"/>
    <n v="0"/>
    <n v="28"/>
    <s v="Sr. Network Engineer"/>
    <s v="MA"/>
    <n v="1545"/>
    <d v="1983-02-09T00:00:00"/>
    <s v="M "/>
    <s v="Married"/>
    <s v="US Citizen"/>
    <s v="No"/>
    <s v="Asian"/>
    <d v="2016-06-30T00:00:00"/>
    <m/>
    <x v="0"/>
    <s v="Active"/>
    <x v="1"/>
    <x v="9"/>
    <n v="7"/>
    <s v="LinkedIn"/>
    <s v="Fully Meets"/>
    <n v="3.27"/>
    <n v="4"/>
    <n v="5"/>
    <d v="2019-01-14T00:00:00"/>
    <n v="0"/>
    <n v="13"/>
  </r>
  <r>
    <s v="Sparks, Taylor  "/>
    <n v="10302"/>
    <n v="1"/>
    <n v="1"/>
    <n v="0"/>
    <n v="1"/>
    <n v="5"/>
    <n v="1"/>
    <n v="0"/>
    <n v="64021"/>
    <n v="0"/>
    <n v="19"/>
    <s v="Production Technician I"/>
    <s v="MA"/>
    <n v="2093"/>
    <d v="1968-07-20T00:00:00"/>
    <s v="F"/>
    <s v="Married"/>
    <s v="US Citizen"/>
    <s v="No"/>
    <s v="White"/>
    <d v="2012-02-20T00:00:00"/>
    <m/>
    <x v="0"/>
    <s v="Active"/>
    <x v="0"/>
    <x v="8"/>
    <n v="12"/>
    <s v="Indeed"/>
    <s v="PIP"/>
    <n v="2.4"/>
    <n v="2"/>
    <n v="1"/>
    <d v="2019-02-25T00:00:00"/>
    <n v="6"/>
    <n v="20"/>
  </r>
  <r>
    <s v="Spirea, Kelley"/>
    <n v="10090"/>
    <n v="1"/>
    <n v="1"/>
    <n v="0"/>
    <n v="1"/>
    <n v="5"/>
    <n v="3"/>
    <n v="0"/>
    <n v="65714"/>
    <n v="0"/>
    <n v="18"/>
    <s v="Production Manager"/>
    <s v="MA"/>
    <n v="2451"/>
    <d v="1975-09-30T00:00:00"/>
    <s v="F"/>
    <s v="Married"/>
    <s v="US Citizen"/>
    <s v="No"/>
    <s v="White"/>
    <d v="2012-10-02T00:00:00"/>
    <m/>
    <x v="0"/>
    <s v="Active"/>
    <x v="0"/>
    <x v="13"/>
    <n v="2"/>
    <s v="LinkedIn"/>
    <s v="Fully Meets"/>
    <n v="4.83"/>
    <n v="5"/>
    <n v="0"/>
    <d v="2019-02-14T00:00:00"/>
    <n v="0"/>
    <n v="15"/>
  </r>
  <r>
    <s v="Squatrito, Kristen"/>
    <n v="10030"/>
    <n v="0"/>
    <n v="2"/>
    <n v="0"/>
    <n v="5"/>
    <n v="5"/>
    <n v="4"/>
    <n v="0"/>
    <n v="62425"/>
    <n v="1"/>
    <n v="19"/>
    <s v="Production Technician I"/>
    <s v="MA"/>
    <n v="2359"/>
    <d v="1973-03-26T00:00:00"/>
    <s v="F"/>
    <s v="Divorced"/>
    <s v="US Citizen"/>
    <s v="No"/>
    <s v="White"/>
    <d v="2013-05-13T00:00:00"/>
    <d v="2015-06-29T00:00:00"/>
    <x v="5"/>
    <s v="Voluntarily Terminated"/>
    <x v="0"/>
    <x v="10"/>
    <n v="14"/>
    <s v="LinkedIn"/>
    <s v="Exceeds"/>
    <n v="4.0999999999999996"/>
    <n v="4"/>
    <n v="0"/>
    <d v="2015-03-02T00:00:00"/>
    <n v="0"/>
    <n v="16"/>
  </r>
  <r>
    <s v="Stanford,Barbara  M"/>
    <n v="10278"/>
    <n v="0"/>
    <n v="2"/>
    <n v="0"/>
    <n v="1"/>
    <n v="5"/>
    <n v="3"/>
    <n v="0"/>
    <n v="47961"/>
    <n v="0"/>
    <n v="19"/>
    <s v="Production Technician I"/>
    <s v="MA"/>
    <n v="2050"/>
    <d v="1982-08-25T00:00:00"/>
    <s v="F"/>
    <s v="Divorced"/>
    <s v="US Citizen"/>
    <s v="No"/>
    <s v="Two or more races"/>
    <d v="2011-01-10T00:00:00"/>
    <m/>
    <x v="0"/>
    <s v="Active"/>
    <x v="0"/>
    <x v="2"/>
    <n v="20"/>
    <s v="Google Search"/>
    <s v="Fully Meets"/>
    <n v="4.0999999999999996"/>
    <n v="4"/>
    <n v="0"/>
    <d v="2019-02-07T00:00:00"/>
    <n v="0"/>
    <n v="9"/>
  </r>
  <r>
    <s v="Stansfield, Norman"/>
    <n v="10307"/>
    <n v="1"/>
    <n v="1"/>
    <n v="1"/>
    <n v="1"/>
    <n v="6"/>
    <n v="1"/>
    <n v="0"/>
    <n v="58273"/>
    <n v="0"/>
    <n v="3"/>
    <s v="Area Sales Manager"/>
    <s v="NV"/>
    <n v="89139"/>
    <d v="1974-05-09T00:00:00"/>
    <s v="M "/>
    <s v="Married"/>
    <s v="US Citizen"/>
    <s v="No"/>
    <s v="White"/>
    <d v="2014-05-12T00:00:00"/>
    <m/>
    <x v="0"/>
    <s v="Active"/>
    <x v="4"/>
    <x v="16"/>
    <n v="21"/>
    <s v="Website"/>
    <s v="PIP"/>
    <n v="1.81"/>
    <n v="2"/>
    <n v="0"/>
    <d v="2019-01-17T00:00:00"/>
    <n v="3"/>
    <n v="5"/>
  </r>
  <r>
    <s v="Steans, Tyrone  "/>
    <n v="10147"/>
    <n v="0"/>
    <n v="0"/>
    <n v="1"/>
    <n v="1"/>
    <n v="1"/>
    <n v="3"/>
    <n v="0"/>
    <n v="63003"/>
    <n v="0"/>
    <n v="1"/>
    <s v="Accountant I"/>
    <s v="MA"/>
    <n v="2703"/>
    <d v="1986-09-01T00:00:00"/>
    <s v="M "/>
    <s v="Single"/>
    <s v="US Citizen"/>
    <s v="No"/>
    <s v="White"/>
    <d v="2014-09-29T00:00:00"/>
    <m/>
    <x v="0"/>
    <s v="Active"/>
    <x v="3"/>
    <x v="12"/>
    <n v="1"/>
    <s v="Indeed"/>
    <s v="Fully Meets"/>
    <n v="3.9"/>
    <n v="5"/>
    <n v="5"/>
    <d v="2019-01-18T00:00:00"/>
    <n v="0"/>
    <n v="9"/>
  </r>
  <r>
    <s v="Stoica, Rick"/>
    <n v="10266"/>
    <n v="1"/>
    <n v="1"/>
    <n v="1"/>
    <n v="1"/>
    <n v="5"/>
    <n v="3"/>
    <n v="0"/>
    <n v="61355"/>
    <n v="0"/>
    <n v="19"/>
    <s v="Production Technician I"/>
    <s v="MA"/>
    <n v="2301"/>
    <d v="1985-03-14T00:00:00"/>
    <s v="M "/>
    <s v="Married"/>
    <s v="US Citizen"/>
    <s v="No"/>
    <s v="Asian"/>
    <d v="2014-02-17T00:00:00"/>
    <m/>
    <x v="0"/>
    <s v="Active"/>
    <x v="0"/>
    <x v="11"/>
    <n v="18"/>
    <s v="LinkedIn"/>
    <s v="Fully Meets"/>
    <n v="4.7"/>
    <n v="3"/>
    <n v="0"/>
    <d v="2019-01-11T00:00:00"/>
    <n v="0"/>
    <n v="4"/>
  </r>
  <r>
    <s v="Strong, Caitrin"/>
    <n v="10241"/>
    <n v="1"/>
    <n v="1"/>
    <n v="0"/>
    <n v="1"/>
    <n v="6"/>
    <n v="3"/>
    <n v="0"/>
    <n v="60120"/>
    <n v="0"/>
    <n v="3"/>
    <s v="Area Sales Manager"/>
    <s v="MT"/>
    <n v="59102"/>
    <d v="1989-05-12T00:00:00"/>
    <s v="F"/>
    <s v="Married"/>
    <s v="US Citizen"/>
    <s v="No"/>
    <s v="Black or African American"/>
    <d v="2010-09-27T00:00:00"/>
    <m/>
    <x v="0"/>
    <s v="Active"/>
    <x v="4"/>
    <x v="14"/>
    <n v="17"/>
    <s v="Indeed"/>
    <s v="Fully Meets"/>
    <n v="4.0999999999999996"/>
    <n v="4"/>
    <n v="0"/>
    <d v="2019-01-31T00:00:00"/>
    <n v="0"/>
    <n v="18"/>
  </r>
  <r>
    <s v="Sullivan, Kissy "/>
    <n v="10158"/>
    <n v="1"/>
    <n v="1"/>
    <n v="0"/>
    <n v="1"/>
    <n v="5"/>
    <n v="3"/>
    <n v="0"/>
    <n v="63682"/>
    <n v="0"/>
    <n v="18"/>
    <s v="Production Manager"/>
    <s v="MA"/>
    <n v="1776"/>
    <d v="1978-03-28T00:00:00"/>
    <s v="F"/>
    <s v="Married"/>
    <s v="US Citizen"/>
    <s v="No"/>
    <s v="Black or African American"/>
    <d v="2009-01-08T00:00:00"/>
    <m/>
    <x v="0"/>
    <s v="Active"/>
    <x v="0"/>
    <x v="13"/>
    <n v="2"/>
    <s v="Indeed"/>
    <s v="Fully Meets"/>
    <n v="3.73"/>
    <n v="4"/>
    <n v="0"/>
    <d v="2019-01-24T00:00:00"/>
    <n v="0"/>
    <n v="12"/>
  </r>
  <r>
    <s v="Sullivan, Timothy"/>
    <n v="10117"/>
    <n v="1"/>
    <n v="1"/>
    <n v="1"/>
    <n v="1"/>
    <n v="5"/>
    <n v="3"/>
    <n v="0"/>
    <n v="63025"/>
    <n v="0"/>
    <n v="19"/>
    <s v="Production Technician I"/>
    <s v="MA"/>
    <n v="2747"/>
    <d v="1982-10-07T00:00:00"/>
    <s v="M "/>
    <s v="Married"/>
    <s v="US Citizen"/>
    <s v="Yes"/>
    <s v="White"/>
    <d v="2015-01-05T00:00:00"/>
    <m/>
    <x v="0"/>
    <s v="Active"/>
    <x v="0"/>
    <x v="0"/>
    <n v="22"/>
    <s v="Google Search"/>
    <s v="Fully Meets"/>
    <n v="4.3600000000000003"/>
    <n v="5"/>
    <n v="0"/>
    <d v="2019-01-24T00:00:00"/>
    <n v="0"/>
    <n v="10"/>
  </r>
  <r>
    <s v="Sutwell, Barbara"/>
    <n v="10209"/>
    <n v="0"/>
    <n v="0"/>
    <n v="0"/>
    <n v="1"/>
    <n v="5"/>
    <n v="3"/>
    <n v="0"/>
    <n v="59238"/>
    <n v="0"/>
    <n v="19"/>
    <s v="Production Technician I"/>
    <s v="MA"/>
    <n v="2718"/>
    <d v="1968-08-15T00:00:00"/>
    <s v="F"/>
    <s v="Single"/>
    <s v="Eligible NonCitizen"/>
    <s v="No"/>
    <s v="Asian"/>
    <d v="2012-05-14T00:00:00"/>
    <m/>
    <x v="0"/>
    <s v="Active"/>
    <x v="0"/>
    <x v="3"/>
    <n v="16"/>
    <s v="Indeed"/>
    <s v="Fully Meets"/>
    <n v="3.4"/>
    <n v="5"/>
    <n v="0"/>
    <d v="2019-01-31T00:00:00"/>
    <n v="0"/>
    <n v="13"/>
  </r>
  <r>
    <s v="Szabo, Andrew"/>
    <n v="10024"/>
    <n v="0"/>
    <n v="0"/>
    <n v="1"/>
    <n v="1"/>
    <n v="4"/>
    <n v="4"/>
    <n v="0"/>
    <n v="92989"/>
    <n v="0"/>
    <n v="24"/>
    <s v="Software Engineer"/>
    <s v="MA"/>
    <n v="2140"/>
    <d v="1983-05-06T00:00:00"/>
    <s v="M "/>
    <s v="Single"/>
    <s v="US Citizen"/>
    <s v="No"/>
    <s v="White"/>
    <d v="2014-07-07T00:00:00"/>
    <m/>
    <x v="0"/>
    <s v="Active"/>
    <x v="2"/>
    <x v="6"/>
    <n v="10"/>
    <s v="LinkedIn"/>
    <s v="Exceeds"/>
    <n v="4.5"/>
    <n v="5"/>
    <n v="5"/>
    <d v="2019-02-18T00:00:00"/>
    <n v="0"/>
    <n v="1"/>
  </r>
  <r>
    <s v="Tannen, Biff"/>
    <n v="10173"/>
    <n v="1"/>
    <n v="1"/>
    <n v="1"/>
    <n v="1"/>
    <n v="3"/>
    <n v="3"/>
    <n v="0"/>
    <n v="90100"/>
    <n v="0"/>
    <n v="4"/>
    <s v="BI Developer"/>
    <s v="MA"/>
    <n v="2134"/>
    <d v="1987-10-24T00:00:00"/>
    <s v="M "/>
    <s v="Married"/>
    <s v="US Citizen"/>
    <s v="No"/>
    <s v="White"/>
    <d v="2017-04-20T00:00:00"/>
    <m/>
    <x v="0"/>
    <s v="Active"/>
    <x v="1"/>
    <x v="19"/>
    <n v="13"/>
    <s v="Indeed"/>
    <s v="Fully Meets"/>
    <n v="3.4"/>
    <n v="3"/>
    <n v="6"/>
    <d v="2019-01-02T00:00:00"/>
    <n v="0"/>
    <n v="14"/>
  </r>
  <r>
    <s v="Tavares, Desiree  "/>
    <n v="10221"/>
    <n v="1"/>
    <n v="1"/>
    <n v="0"/>
    <n v="5"/>
    <n v="5"/>
    <n v="3"/>
    <n v="1"/>
    <n v="60754"/>
    <n v="1"/>
    <n v="19"/>
    <s v="Production Technician I"/>
    <s v="MA"/>
    <n v="1801"/>
    <d v="1975-04-03T00:00:00"/>
    <s v="F"/>
    <s v="Married"/>
    <s v="Non-Citizen"/>
    <s v="No"/>
    <s v="Black or African American"/>
    <d v="2009-04-27T00:00:00"/>
    <d v="2013-04-01T00:00:00"/>
    <x v="4"/>
    <s v="Voluntarily Terminated"/>
    <x v="0"/>
    <x v="4"/>
    <n v="39"/>
    <s v="Diversity Job Fair"/>
    <s v="Fully Meets"/>
    <n v="4.5"/>
    <n v="5"/>
    <n v="0"/>
    <d v="2012-02-15T00:00:00"/>
    <n v="0"/>
    <n v="11"/>
  </r>
  <r>
    <s v="Tejeda, Lenora "/>
    <n v="10146"/>
    <n v="1"/>
    <n v="1"/>
    <n v="0"/>
    <n v="5"/>
    <n v="5"/>
    <n v="3"/>
    <n v="0"/>
    <n v="72202"/>
    <n v="1"/>
    <n v="20"/>
    <s v="Production Technician II"/>
    <s v="MA"/>
    <n v="2129"/>
    <d v="1953-05-24T00:00:00"/>
    <s v="F"/>
    <s v="Married"/>
    <s v="US Citizen"/>
    <s v="No"/>
    <s v="White"/>
    <d v="2011-05-16T00:00:00"/>
    <d v="2017-07-08T00:00:00"/>
    <x v="4"/>
    <s v="Voluntarily Terminated"/>
    <x v="0"/>
    <x v="3"/>
    <n v="16"/>
    <s v="Google Search"/>
    <s v="Fully Meets"/>
    <n v="3.93"/>
    <n v="3"/>
    <n v="0"/>
    <d v="2017-04-18T00:00:00"/>
    <n v="0"/>
    <n v="3"/>
  </r>
  <r>
    <s v="Terry, Sharlene "/>
    <n v="10161"/>
    <n v="0"/>
    <n v="0"/>
    <n v="0"/>
    <n v="1"/>
    <n v="6"/>
    <n v="3"/>
    <n v="0"/>
    <n v="58370"/>
    <n v="0"/>
    <n v="3"/>
    <s v="Area Sales Manager"/>
    <s v="OR"/>
    <n v="97756"/>
    <d v="1965-05-07T00:00:00"/>
    <s v="F"/>
    <s v="Single"/>
    <s v="US Citizen"/>
    <s v="No"/>
    <s v="Black or African American"/>
    <d v="2014-09-29T00:00:00"/>
    <m/>
    <x v="0"/>
    <s v="Active"/>
    <x v="4"/>
    <x v="16"/>
    <n v="21"/>
    <s v="Indeed"/>
    <s v="Fully Meets"/>
    <n v="3.69"/>
    <n v="3"/>
    <n v="0"/>
    <d v="2019-01-28T00:00:00"/>
    <n v="0"/>
    <n v="18"/>
  </r>
  <r>
    <s v="Theamstern, Sophia"/>
    <n v="10141"/>
    <n v="0"/>
    <n v="0"/>
    <n v="0"/>
    <n v="5"/>
    <n v="5"/>
    <n v="3"/>
    <n v="0"/>
    <n v="48413"/>
    <n v="1"/>
    <n v="19"/>
    <s v="Production Technician I"/>
    <s v="MA"/>
    <n v="2066"/>
    <d v="1965-05-09T00:00:00"/>
    <s v="F"/>
    <s v="Single"/>
    <s v="US Citizen"/>
    <s v="No"/>
    <s v="White"/>
    <d v="2011-07-05T00:00:00"/>
    <d v="2016-09-05T00:00:00"/>
    <x v="3"/>
    <s v="Voluntarily Terminated"/>
    <x v="0"/>
    <x v="5"/>
    <n v="11"/>
    <s v="Indeed"/>
    <s v="Fully Meets"/>
    <n v="3.98"/>
    <n v="4"/>
    <n v="0"/>
    <d v="2016-03-02T00:00:00"/>
    <n v="0"/>
    <n v="1"/>
  </r>
  <r>
    <s v="Thibaud, Kenneth"/>
    <n v="10268"/>
    <n v="0"/>
    <n v="4"/>
    <n v="1"/>
    <n v="5"/>
    <n v="5"/>
    <n v="3"/>
    <n v="0"/>
    <n v="67176"/>
    <n v="1"/>
    <n v="20"/>
    <s v="Production Technician II"/>
    <s v="MA"/>
    <n v="2472"/>
    <d v="1975-09-16T00:00:00"/>
    <s v="M "/>
    <s v="Widowed"/>
    <s v="US Citizen"/>
    <s v="No"/>
    <s v="White"/>
    <d v="2007-06-25T00:00:00"/>
    <d v="2010-08-30T00:00:00"/>
    <x v="12"/>
    <s v="Voluntarily Terminated"/>
    <x v="0"/>
    <x v="4"/>
    <n v="39"/>
    <s v="Other"/>
    <s v="Fully Meets"/>
    <n v="4.0999999999999996"/>
    <n v="4"/>
    <n v="0"/>
    <d v="2010-07-14T00:00:00"/>
    <n v="0"/>
    <n v="15"/>
  </r>
  <r>
    <s v="Tippett, Jeanette"/>
    <n v="10123"/>
    <n v="0"/>
    <n v="2"/>
    <n v="0"/>
    <n v="1"/>
    <n v="5"/>
    <n v="3"/>
    <n v="0"/>
    <n v="56339"/>
    <n v="0"/>
    <n v="19"/>
    <s v="Production Technician I"/>
    <s v="MA"/>
    <n v="2093"/>
    <d v="1967-06-05T00:00:00"/>
    <s v="F"/>
    <s v="Divorced"/>
    <s v="US Citizen"/>
    <s v="No"/>
    <s v="Black or African American"/>
    <d v="2013-02-18T00:00:00"/>
    <m/>
    <x v="0"/>
    <s v="Active"/>
    <x v="0"/>
    <x v="8"/>
    <n v="12"/>
    <s v="Indeed"/>
    <s v="Fully Meets"/>
    <n v="4.21"/>
    <n v="5"/>
    <n v="0"/>
    <d v="2019-01-14T00:00:00"/>
    <n v="0"/>
    <n v="4"/>
  </r>
  <r>
    <s v="Torrence, Jack"/>
    <n v="10013"/>
    <n v="0"/>
    <n v="3"/>
    <n v="1"/>
    <n v="1"/>
    <n v="6"/>
    <n v="4"/>
    <n v="0"/>
    <n v="64397"/>
    <n v="0"/>
    <n v="3"/>
    <s v="Area Sales Manager"/>
    <s v="ND"/>
    <n v="58782"/>
    <d v="1968-01-15T00:00:00"/>
    <s v="M "/>
    <s v="Separated"/>
    <s v="US Citizen"/>
    <s v="No"/>
    <s v="White"/>
    <d v="2006-01-09T00:00:00"/>
    <m/>
    <x v="0"/>
    <s v="Active"/>
    <x v="4"/>
    <x v="16"/>
    <n v="21"/>
    <s v="Indeed"/>
    <s v="Exceeds"/>
    <n v="4.0999999999999996"/>
    <n v="3"/>
    <n v="0"/>
    <d v="2019-01-04T00:00:00"/>
    <n v="0"/>
    <n v="6"/>
  </r>
  <r>
    <s v="Trang, Mei"/>
    <n v="10287"/>
    <n v="0"/>
    <n v="0"/>
    <n v="0"/>
    <n v="1"/>
    <n v="5"/>
    <n v="2"/>
    <n v="0"/>
    <n v="63025"/>
    <n v="0"/>
    <n v="19"/>
    <s v="Production Technician I"/>
    <s v="MA"/>
    <n v="2021"/>
    <d v="1983-05-16T00:00:00"/>
    <s v="F"/>
    <s v="Single"/>
    <s v="US Citizen"/>
    <s v="No"/>
    <s v="White"/>
    <d v="2014-02-17T00:00:00"/>
    <m/>
    <x v="0"/>
    <s v="Active"/>
    <x v="0"/>
    <x v="10"/>
    <n v="14"/>
    <s v="LinkedIn"/>
    <s v="Needs Improvement"/>
    <n v="2.44"/>
    <n v="5"/>
    <n v="0"/>
    <d v="2019-02-11T00:00:00"/>
    <n v="4"/>
    <n v="18"/>
  </r>
  <r>
    <s v="Tredinnick, Neville "/>
    <n v="10044"/>
    <n v="1"/>
    <n v="1"/>
    <n v="1"/>
    <n v="5"/>
    <n v="3"/>
    <n v="3"/>
    <n v="0"/>
    <n v="75281"/>
    <n v="1"/>
    <n v="15"/>
    <s v="Network Engineer"/>
    <s v="MA"/>
    <n v="1420"/>
    <d v="1988-05-05T00:00:00"/>
    <s v="M "/>
    <s v="Married"/>
    <s v="US Citizen"/>
    <s v="No"/>
    <s v="White"/>
    <d v="2015-01-05T00:00:00"/>
    <d v="2016-02-12T00:00:00"/>
    <x v="16"/>
    <s v="Voluntarily Terminated"/>
    <x v="1"/>
    <x v="9"/>
    <n v="7"/>
    <s v="CareerBuilder"/>
    <s v="Fully Meets"/>
    <n v="5"/>
    <n v="3"/>
    <n v="5"/>
    <d v="2015-04-15T00:00:00"/>
    <n v="0"/>
    <n v="11"/>
  </r>
  <r>
    <s v="True, Edward"/>
    <n v="10102"/>
    <n v="0"/>
    <n v="0"/>
    <n v="1"/>
    <n v="5"/>
    <n v="4"/>
    <n v="3"/>
    <n v="1"/>
    <n v="100416"/>
    <n v="1"/>
    <n v="24"/>
    <s v="Software Engineer"/>
    <s v="MA"/>
    <n v="2451"/>
    <d v="1983-06-14T00:00:00"/>
    <s v="M "/>
    <s v="Single"/>
    <s v="Non-Citizen"/>
    <s v="No"/>
    <s v="Black or African American"/>
    <d v="2013-02-18T00:00:00"/>
    <d v="2018-04-15T00:00:00"/>
    <x v="16"/>
    <s v="Voluntarily Terminated"/>
    <x v="2"/>
    <x v="6"/>
    <n v="10"/>
    <s v="Diversity Job Fair"/>
    <s v="Fully Meets"/>
    <n v="4.5999999999999996"/>
    <n v="3"/>
    <n v="4"/>
    <d v="2017-02-12T00:00:00"/>
    <n v="0"/>
    <n v="9"/>
  </r>
  <r>
    <s v="Trzeciak, Cybil"/>
    <n v="10270"/>
    <n v="0"/>
    <n v="0"/>
    <n v="0"/>
    <n v="5"/>
    <n v="5"/>
    <n v="3"/>
    <n v="0"/>
    <n v="74813"/>
    <n v="1"/>
    <n v="20"/>
    <s v="Production Technician II"/>
    <s v="MA"/>
    <n v="1778"/>
    <d v="1985-03-15T00:00:00"/>
    <s v="F"/>
    <s v="Single"/>
    <s v="US Citizen"/>
    <s v="No"/>
    <s v="White"/>
    <d v="2011-01-10T00:00:00"/>
    <d v="2014-07-02T00:00:00"/>
    <x v="5"/>
    <s v="Voluntarily Terminated"/>
    <x v="0"/>
    <x v="5"/>
    <n v="11"/>
    <s v="LinkedIn"/>
    <s v="Fully Meets"/>
    <n v="4.4000000000000004"/>
    <n v="3"/>
    <n v="0"/>
    <d v="2014-01-05T00:00:00"/>
    <n v="0"/>
    <n v="5"/>
  </r>
  <r>
    <s v="Turpin, Jumil"/>
    <n v="10045"/>
    <n v="1"/>
    <n v="1"/>
    <n v="1"/>
    <n v="1"/>
    <n v="3"/>
    <n v="3"/>
    <n v="0"/>
    <n v="76029"/>
    <n v="0"/>
    <n v="15"/>
    <s v="Network Engineer"/>
    <s v="MA"/>
    <n v="2343"/>
    <d v="1969-03-31T00:00:00"/>
    <s v="M "/>
    <s v="Married"/>
    <s v="Eligible NonCitizen"/>
    <s v="No"/>
    <s v="White"/>
    <d v="2015-03-30T00:00:00"/>
    <m/>
    <x v="0"/>
    <s v="Active"/>
    <x v="1"/>
    <x v="9"/>
    <n v="7"/>
    <s v="Employee Referral"/>
    <s v="Fully Meets"/>
    <n v="5"/>
    <n v="4"/>
    <n v="7"/>
    <d v="2019-01-14T00:00:00"/>
    <n v="0"/>
    <n v="8"/>
  </r>
  <r>
    <s v="Valentin,Jackie"/>
    <n v="10205"/>
    <n v="1"/>
    <n v="1"/>
    <n v="0"/>
    <n v="1"/>
    <n v="6"/>
    <n v="3"/>
    <n v="0"/>
    <n v="57859"/>
    <n v="0"/>
    <n v="3"/>
    <s v="Area Sales Manager"/>
    <s v="AZ"/>
    <n v="85006"/>
    <d v="1991-05-23T00:00:00"/>
    <s v="F"/>
    <s v="Married"/>
    <s v="US Citizen"/>
    <s v="No"/>
    <s v="Two or more races"/>
    <d v="2011-07-05T00:00:00"/>
    <m/>
    <x v="0"/>
    <s v="Active"/>
    <x v="4"/>
    <x v="14"/>
    <n v="17"/>
    <s v="Indeed"/>
    <s v="Fully Meets"/>
    <n v="2.81"/>
    <n v="3"/>
    <n v="0"/>
    <d v="2019-01-17T00:00:00"/>
    <n v="0"/>
    <n v="16"/>
  </r>
  <r>
    <s v="Veera, Abdellah "/>
    <n v="10014"/>
    <n v="0"/>
    <n v="2"/>
    <n v="1"/>
    <n v="5"/>
    <n v="5"/>
    <n v="4"/>
    <n v="0"/>
    <n v="58523"/>
    <n v="1"/>
    <n v="19"/>
    <s v="Production Technician I"/>
    <s v="MA"/>
    <n v="2171"/>
    <d v="1987-01-31T00:00:00"/>
    <s v="M "/>
    <s v="Divorced"/>
    <s v="US Citizen"/>
    <s v="No"/>
    <s v="White"/>
    <d v="2012-08-13T00:00:00"/>
    <d v="2016-02-05T00:00:00"/>
    <x v="15"/>
    <s v="Voluntarily Terminated"/>
    <x v="0"/>
    <x v="2"/>
    <n v="20"/>
    <s v="LinkedIn"/>
    <s v="Exceeds"/>
    <n v="4.5"/>
    <n v="5"/>
    <n v="0"/>
    <d v="2016-02-01T00:00:00"/>
    <n v="0"/>
    <n v="15"/>
  </r>
  <r>
    <s v="Vega, Vincent"/>
    <n v="10144"/>
    <n v="0"/>
    <n v="2"/>
    <n v="1"/>
    <n v="1"/>
    <n v="5"/>
    <n v="3"/>
    <n v="0"/>
    <n v="88976"/>
    <n v="0"/>
    <n v="17"/>
    <s v="Production Manager"/>
    <s v="MA"/>
    <n v="2169"/>
    <d v="1968-10-10T00:00:00"/>
    <s v="M "/>
    <s v="Divorced"/>
    <s v="US Citizen"/>
    <s v="No"/>
    <s v="White"/>
    <d v="2011-08-01T00:00:00"/>
    <m/>
    <x v="0"/>
    <s v="Active"/>
    <x v="0"/>
    <x v="13"/>
    <n v="2"/>
    <s v="Employee Referral"/>
    <s v="Fully Meets"/>
    <n v="3.93"/>
    <n v="3"/>
    <n v="0"/>
    <d v="2019-02-27T00:00:00"/>
    <n v="0"/>
    <n v="19"/>
  </r>
  <r>
    <s v="Villanueva, Noah"/>
    <n v="10253"/>
    <n v="0"/>
    <n v="0"/>
    <n v="1"/>
    <n v="1"/>
    <n v="6"/>
    <n v="3"/>
    <n v="0"/>
    <n v="55875"/>
    <n v="0"/>
    <n v="3"/>
    <s v="Area Sales Manager"/>
    <s v="ME"/>
    <n v="4063"/>
    <d v="1989-07-11T00:00:00"/>
    <s v="M "/>
    <s v="Single"/>
    <s v="US Citizen"/>
    <s v="No"/>
    <s v="Asian"/>
    <d v="2012-03-05T00:00:00"/>
    <m/>
    <x v="0"/>
    <s v="Active"/>
    <x v="4"/>
    <x v="14"/>
    <n v="17"/>
    <s v="Website"/>
    <s v="Fully Meets"/>
    <n v="4.5"/>
    <n v="4"/>
    <n v="0"/>
    <d v="2019-01-18T00:00:00"/>
    <n v="0"/>
    <n v="11"/>
  </r>
  <r>
    <s v="Voldemort, Lord"/>
    <n v="10118"/>
    <n v="1"/>
    <n v="1"/>
    <n v="1"/>
    <n v="4"/>
    <n v="3"/>
    <n v="3"/>
    <n v="0"/>
    <n v="113999"/>
    <n v="1"/>
    <n v="8"/>
    <s v="Database Administrator"/>
    <s v="MA"/>
    <n v="1960"/>
    <d v="1986-08-07T00:00:00"/>
    <s v="M "/>
    <s v="Married"/>
    <s v="US Citizen"/>
    <s v="No"/>
    <s v="Black or African American"/>
    <d v="2015-02-16T00:00:00"/>
    <d v="2017-02-22T00:00:00"/>
    <x v="13"/>
    <s v="Terminated for Cause"/>
    <x v="1"/>
    <x v="1"/>
    <n v="4"/>
    <s v="Employee Referral"/>
    <s v="Fully Meets"/>
    <n v="4.33"/>
    <n v="3"/>
    <n v="7"/>
    <d v="2017-02-15T00:00:00"/>
    <n v="0"/>
    <n v="9"/>
  </r>
  <r>
    <s v="Volk, Colleen"/>
    <n v="10022"/>
    <n v="1"/>
    <n v="1"/>
    <n v="0"/>
    <n v="4"/>
    <n v="5"/>
    <n v="4"/>
    <n v="0"/>
    <n v="49773"/>
    <n v="1"/>
    <n v="19"/>
    <s v="Production Technician I"/>
    <s v="MA"/>
    <n v="2747"/>
    <d v="1986-06-03T00:00:00"/>
    <s v="F"/>
    <s v="Married"/>
    <s v="US Citizen"/>
    <s v="No"/>
    <s v="White"/>
    <d v="2011-09-26T00:00:00"/>
    <d v="2016-02-08T00:00:00"/>
    <x v="17"/>
    <s v="Terminated for Cause"/>
    <x v="0"/>
    <x v="11"/>
    <n v="18"/>
    <s v="Google Search"/>
    <s v="Exceeds"/>
    <n v="4.3"/>
    <n v="5"/>
    <n v="0"/>
    <d v="2015-02-01T00:00:00"/>
    <n v="0"/>
    <n v="18"/>
  </r>
  <r>
    <s v="Von Massenbach, Anna"/>
    <n v="10183"/>
    <n v="0"/>
    <n v="0"/>
    <n v="0"/>
    <n v="2"/>
    <n v="5"/>
    <n v="3"/>
    <n v="0"/>
    <n v="62068"/>
    <n v="0"/>
    <n v="19"/>
    <s v="Production Technician I"/>
    <s v="MA"/>
    <n v="2124"/>
    <d v="1985-04-06T00:00:00"/>
    <s v="F"/>
    <s v="Single"/>
    <s v="US Citizen"/>
    <s v="No"/>
    <s v="White"/>
    <d v="2015-07-05T00:00:00"/>
    <m/>
    <x v="0"/>
    <s v="Active"/>
    <x v="0"/>
    <x v="0"/>
    <n v="22"/>
    <s v="LinkedIn"/>
    <s v="Fully Meets"/>
    <n v="3.21"/>
    <n v="3"/>
    <n v="0"/>
    <d v="2019-01-29T00:00:00"/>
    <n v="0"/>
    <n v="7"/>
  </r>
  <r>
    <s v="Walker, Roger"/>
    <n v="10190"/>
    <n v="0"/>
    <n v="0"/>
    <n v="1"/>
    <n v="1"/>
    <n v="5"/>
    <n v="3"/>
    <n v="0"/>
    <n v="66541"/>
    <n v="0"/>
    <n v="20"/>
    <s v="Production Technician II"/>
    <s v="MA"/>
    <n v="2459"/>
    <d v="1976-02-10T00:00:00"/>
    <s v="M "/>
    <s v="Single"/>
    <s v="US Citizen"/>
    <s v="No"/>
    <s v="Black or African American"/>
    <d v="2014-08-18T00:00:00"/>
    <m/>
    <x v="0"/>
    <s v="Active"/>
    <x v="0"/>
    <x v="7"/>
    <n v="19"/>
    <s v="Employee Referral"/>
    <s v="Fully Meets"/>
    <n v="3.11"/>
    <n v="5"/>
    <n v="0"/>
    <d v="2019-02-12T00:00:00"/>
    <n v="0"/>
    <n v="4"/>
  </r>
  <r>
    <s v="Wallace, Courtney  E"/>
    <n v="10274"/>
    <n v="1"/>
    <n v="1"/>
    <n v="0"/>
    <n v="5"/>
    <n v="5"/>
    <n v="3"/>
    <n v="1"/>
    <n v="80512"/>
    <n v="1"/>
    <n v="18"/>
    <s v="Production Manager"/>
    <s v="MA"/>
    <n v="2478"/>
    <d v="1955-11-14T00:00:00"/>
    <s v="F"/>
    <s v="Married"/>
    <s v="US Citizen"/>
    <s v="No"/>
    <s v="Black or African American"/>
    <d v="2011-09-26T00:00:00"/>
    <d v="2012-01-02T00:00:00"/>
    <x v="4"/>
    <s v="Voluntarily Terminated"/>
    <x v="0"/>
    <x v="13"/>
    <n v="2"/>
    <s v="Diversity Job Fair"/>
    <s v="Fully Meets"/>
    <n v="4.5"/>
    <n v="3"/>
    <n v="0"/>
    <d v="2012-01-02T00:00:00"/>
    <n v="0"/>
    <n v="5"/>
  </r>
  <r>
    <s v="Wallace, Theresa"/>
    <n v="10293"/>
    <n v="0"/>
    <n v="0"/>
    <n v="0"/>
    <n v="5"/>
    <n v="5"/>
    <n v="2"/>
    <n v="0"/>
    <n v="50274"/>
    <n v="1"/>
    <n v="19"/>
    <s v="Production Technician I"/>
    <s v="MA"/>
    <n v="1887"/>
    <d v="1980-08-02T00:00:00"/>
    <s v="F"/>
    <s v="Single"/>
    <s v="US Citizen"/>
    <s v="No"/>
    <s v="White"/>
    <d v="2012-08-13T00:00:00"/>
    <d v="2015-09-01T00:00:00"/>
    <x v="1"/>
    <s v="Voluntarily Terminated"/>
    <x v="0"/>
    <x v="3"/>
    <n v="16"/>
    <s v="CareerBuilder"/>
    <s v="Needs Improvement"/>
    <n v="2.5"/>
    <n v="3"/>
    <n v="0"/>
    <d v="2014-09-05T00:00:00"/>
    <n v="6"/>
    <n v="13"/>
  </r>
  <r>
    <s v="Wang, Charlie"/>
    <n v="10172"/>
    <n v="0"/>
    <n v="0"/>
    <n v="1"/>
    <n v="1"/>
    <n v="3"/>
    <n v="3"/>
    <n v="0"/>
    <n v="84903"/>
    <n v="0"/>
    <n v="22"/>
    <s v="Senior BI Developer"/>
    <s v="MA"/>
    <n v="1887"/>
    <d v="1981-07-08T00:00:00"/>
    <s v="M "/>
    <s v="Single"/>
    <s v="US Citizen"/>
    <s v="No"/>
    <s v="Asian"/>
    <d v="2017-02-15T00:00:00"/>
    <m/>
    <x v="0"/>
    <s v="Active"/>
    <x v="1"/>
    <x v="19"/>
    <n v="13"/>
    <s v="Indeed"/>
    <s v="Fully Meets"/>
    <n v="3.42"/>
    <n v="4"/>
    <n v="7"/>
    <d v="2019-01-04T00:00:00"/>
    <n v="0"/>
    <n v="17"/>
  </r>
  <r>
    <s v="Warfield, Sarah"/>
    <n v="10127"/>
    <n v="0"/>
    <n v="4"/>
    <n v="0"/>
    <n v="1"/>
    <n v="3"/>
    <n v="3"/>
    <n v="0"/>
    <n v="107226"/>
    <n v="0"/>
    <n v="28"/>
    <s v="Sr. Network Engineer"/>
    <s v="MA"/>
    <n v="2453"/>
    <d v="1978-05-02T00:00:00"/>
    <s v="F"/>
    <s v="Widowed"/>
    <s v="US Citizen"/>
    <s v="No"/>
    <s v="Asian"/>
    <d v="2015-03-30T00:00:00"/>
    <m/>
    <x v="0"/>
    <s v="Active"/>
    <x v="1"/>
    <x v="9"/>
    <n v="7"/>
    <s v="Employee Referral"/>
    <s v="Fully Meets"/>
    <n v="4.2"/>
    <n v="4"/>
    <n v="8"/>
    <d v="2019-02-05T00:00:00"/>
    <n v="0"/>
    <n v="7"/>
  </r>
  <r>
    <s v="Whittier, Scott"/>
    <n v="10072"/>
    <n v="0"/>
    <n v="0"/>
    <n v="1"/>
    <n v="5"/>
    <n v="5"/>
    <n v="3"/>
    <n v="0"/>
    <n v="58371"/>
    <n v="1"/>
    <n v="19"/>
    <s v="Production Technician I"/>
    <s v="MA"/>
    <n v="2030"/>
    <d v="1987-05-24T00:00:00"/>
    <s v="M "/>
    <s v="Single"/>
    <s v="US Citizen"/>
    <s v="Yes"/>
    <s v="White"/>
    <d v="2011-01-10T00:00:00"/>
    <d v="2014-05-15T00:00:00"/>
    <x v="2"/>
    <s v="Voluntarily Terminated"/>
    <x v="0"/>
    <x v="4"/>
    <n v="39"/>
    <s v="LinkedIn"/>
    <s v="Fully Meets"/>
    <n v="5"/>
    <n v="5"/>
    <n v="0"/>
    <d v="2014-05-15T00:00:00"/>
    <n v="0"/>
    <n v="11"/>
  </r>
  <r>
    <s v="Wilber, Barry"/>
    <n v="10048"/>
    <n v="1"/>
    <n v="1"/>
    <n v="1"/>
    <n v="5"/>
    <n v="5"/>
    <n v="3"/>
    <n v="0"/>
    <n v="55140"/>
    <n v="1"/>
    <n v="19"/>
    <s v="Production Technician I"/>
    <s v="MA"/>
    <n v="2324"/>
    <d v="1965-09-09T00:00:00"/>
    <s v="M "/>
    <s v="Married"/>
    <s v="Eligible NonCitizen"/>
    <s v="No"/>
    <s v="White"/>
    <d v="2011-05-16T00:00:00"/>
    <d v="2015-09-07T00:00:00"/>
    <x v="5"/>
    <s v="Voluntarily Terminated"/>
    <x v="0"/>
    <x v="5"/>
    <n v="11"/>
    <s v="Website"/>
    <s v="Fully Meets"/>
    <n v="5"/>
    <n v="3"/>
    <n v="0"/>
    <d v="2015-02-15T00:00:00"/>
    <n v="0"/>
    <n v="7"/>
  </r>
  <r>
    <s v="Wilkes, Annie"/>
    <n v="10204"/>
    <n v="0"/>
    <n v="2"/>
    <n v="0"/>
    <n v="5"/>
    <n v="5"/>
    <n v="3"/>
    <n v="0"/>
    <n v="58062"/>
    <n v="1"/>
    <n v="19"/>
    <s v="Production Technician I"/>
    <s v="MA"/>
    <n v="1876"/>
    <d v="1983-07-30T00:00:00"/>
    <s v="F"/>
    <s v="Divorced"/>
    <s v="US Citizen"/>
    <s v="No"/>
    <s v="White"/>
    <d v="2011-01-10T00:00:00"/>
    <d v="2012-05-14T00:00:00"/>
    <x v="4"/>
    <s v="Voluntarily Terminated"/>
    <x v="0"/>
    <x v="7"/>
    <n v="19"/>
    <s v="Google Search"/>
    <s v="Fully Meets"/>
    <n v="3.6"/>
    <n v="5"/>
    <n v="0"/>
    <d v="2011-02-06T00:00:00"/>
    <n v="0"/>
    <n v="9"/>
  </r>
  <r>
    <s v="Williams, Jacquelyn  "/>
    <n v="10264"/>
    <n v="0"/>
    <n v="0"/>
    <n v="0"/>
    <n v="5"/>
    <n v="5"/>
    <n v="3"/>
    <n v="1"/>
    <n v="59728"/>
    <n v="1"/>
    <n v="19"/>
    <s v="Production Technician I"/>
    <s v="MA"/>
    <n v="2109"/>
    <d v="1969-10-02T00:00:00"/>
    <s v="F"/>
    <s v="Single"/>
    <s v="US Citizen"/>
    <s v="Yes"/>
    <s v="Black or African American"/>
    <d v="2012-01-09T00:00:00"/>
    <d v="2015-06-27T00:00:00"/>
    <x v="10"/>
    <s v="Voluntarily Terminated"/>
    <x v="0"/>
    <x v="7"/>
    <n v="19"/>
    <s v="Diversity Job Fair"/>
    <s v="Fully Meets"/>
    <n v="4.3"/>
    <n v="4"/>
    <n v="0"/>
    <d v="2014-06-02T00:00:00"/>
    <n v="0"/>
    <n v="16"/>
  </r>
  <r>
    <s v="Winthrop, Jordan  "/>
    <n v="10033"/>
    <n v="0"/>
    <n v="0"/>
    <n v="1"/>
    <n v="5"/>
    <n v="5"/>
    <n v="4"/>
    <n v="0"/>
    <n v="70507"/>
    <n v="1"/>
    <n v="20"/>
    <s v="Production Technician II"/>
    <s v="MA"/>
    <n v="2045"/>
    <d v="1958-11-07T00:00:00"/>
    <s v="M "/>
    <s v="Single"/>
    <s v="US Citizen"/>
    <s v="No"/>
    <s v="White"/>
    <d v="2013-01-07T00:00:00"/>
    <d v="2016-02-21T00:00:00"/>
    <x v="9"/>
    <s v="Voluntarily Terminated"/>
    <x v="0"/>
    <x v="8"/>
    <n v="12"/>
    <s v="LinkedIn"/>
    <s v="Exceeds"/>
    <n v="5"/>
    <n v="3"/>
    <n v="0"/>
    <d v="2016-01-19T00:00:00"/>
    <n v="0"/>
    <n v="7"/>
  </r>
  <r>
    <s v="Wolk, Hang  T"/>
    <n v="10174"/>
    <n v="0"/>
    <n v="0"/>
    <n v="0"/>
    <n v="1"/>
    <n v="5"/>
    <n v="3"/>
    <n v="0"/>
    <n v="60446"/>
    <n v="0"/>
    <n v="20"/>
    <s v="Production Technician II"/>
    <s v="MA"/>
    <n v="2302"/>
    <d v="1985-04-20T00:00:00"/>
    <s v="F"/>
    <s v="Single"/>
    <s v="US Citizen"/>
    <s v="No"/>
    <s v="White"/>
    <d v="2014-09-29T00:00:00"/>
    <m/>
    <x v="0"/>
    <s v="Active"/>
    <x v="0"/>
    <x v="10"/>
    <n v="14"/>
    <s v="LinkedIn"/>
    <s v="Fully Meets"/>
    <n v="3.4"/>
    <n v="4"/>
    <n v="0"/>
    <d v="2019-02-21T00:00:00"/>
    <n v="0"/>
    <n v="14"/>
  </r>
  <r>
    <s v="Woodson, Jason"/>
    <n v="10135"/>
    <n v="0"/>
    <n v="0"/>
    <n v="1"/>
    <n v="1"/>
    <n v="5"/>
    <n v="3"/>
    <n v="0"/>
    <n v="65893"/>
    <n v="0"/>
    <n v="20"/>
    <s v="Production Technician II"/>
    <s v="MA"/>
    <n v="1810"/>
    <d v="1985-05-11T00:00:00"/>
    <s v="M "/>
    <s v="Single"/>
    <s v="US Citizen"/>
    <s v="No"/>
    <s v="White"/>
    <d v="2014-07-07T00:00:00"/>
    <m/>
    <x v="0"/>
    <s v="Active"/>
    <x v="0"/>
    <x v="2"/>
    <n v="20"/>
    <s v="LinkedIn"/>
    <s v="Fully Meets"/>
    <n v="4.07"/>
    <n v="4"/>
    <n v="0"/>
    <d v="2019-02-28T00:00:00"/>
    <n v="0"/>
    <n v="13"/>
  </r>
  <r>
    <s v="Ybarra, Catherine "/>
    <n v="10301"/>
    <n v="0"/>
    <n v="0"/>
    <n v="0"/>
    <n v="5"/>
    <n v="5"/>
    <n v="1"/>
    <n v="0"/>
    <n v="48513"/>
    <n v="1"/>
    <n v="19"/>
    <s v="Production Technician I"/>
    <s v="MA"/>
    <n v="2458"/>
    <d v="1982-05-04T00:00:00"/>
    <s v="F"/>
    <s v="Single"/>
    <s v="US Citizen"/>
    <s v="No"/>
    <s v="Asian"/>
    <d v="2008-09-02T00:00:00"/>
    <d v="2015-09-29T00:00:00"/>
    <x v="4"/>
    <s v="Voluntarily Terminated"/>
    <x v="0"/>
    <x v="8"/>
    <n v="12"/>
    <s v="Google Search"/>
    <s v="PIP"/>
    <n v="3.2"/>
    <n v="2"/>
    <n v="0"/>
    <d v="2015-09-02T00:00:00"/>
    <n v="5"/>
    <n v="4"/>
  </r>
  <r>
    <s v="Zamora, Jennifer"/>
    <n v="10010"/>
    <n v="0"/>
    <n v="0"/>
    <n v="0"/>
    <n v="1"/>
    <n v="3"/>
    <n v="4"/>
    <n v="0"/>
    <n v="220450"/>
    <n v="0"/>
    <n v="6"/>
    <s v="CIO"/>
    <s v="MA"/>
    <n v="2067"/>
    <d v="1979-08-30T00:00:00"/>
    <s v="F"/>
    <s v="Single"/>
    <s v="US Citizen"/>
    <s v="No"/>
    <s v="White"/>
    <d v="2010-04-10T00:00:00"/>
    <m/>
    <x v="0"/>
    <s v="Active"/>
    <x v="1"/>
    <x v="13"/>
    <n v="2"/>
    <s v="Employee Referral"/>
    <s v="Exceeds"/>
    <n v="4.5999999999999996"/>
    <n v="5"/>
    <n v="6"/>
    <d v="2019-02-21T00:00:00"/>
    <n v="0"/>
    <n v="16"/>
  </r>
  <r>
    <s v="Zhou, Julia"/>
    <n v="10043"/>
    <n v="0"/>
    <n v="0"/>
    <n v="0"/>
    <n v="1"/>
    <n v="3"/>
    <n v="3"/>
    <n v="0"/>
    <n v="89292"/>
    <n v="0"/>
    <n v="9"/>
    <s v="Data Analyst"/>
    <s v="MA"/>
    <n v="2148"/>
    <d v="1979-02-24T00:00:00"/>
    <s v="F"/>
    <s v="Single"/>
    <s v="US Citizen"/>
    <s v="No"/>
    <s v="White"/>
    <d v="2015-03-30T00:00:00"/>
    <m/>
    <x v="0"/>
    <s v="Active"/>
    <x v="1"/>
    <x v="1"/>
    <n v="4"/>
    <s v="Employee Referral"/>
    <s v="Fully Meets"/>
    <n v="5"/>
    <n v="3"/>
    <n v="5"/>
    <d v="2019-02-01T00:00:00"/>
    <n v="0"/>
    <n v="11"/>
  </r>
  <r>
    <s v="Zima, Colleen"/>
    <n v="10271"/>
    <n v="0"/>
    <n v="4"/>
    <n v="0"/>
    <n v="1"/>
    <n v="5"/>
    <n v="3"/>
    <n v="0"/>
    <n v="45046"/>
    <n v="0"/>
    <n v="19"/>
    <s v="Production Technician I"/>
    <s v="MA"/>
    <n v="1730"/>
    <d v="1978-08-17T00:00:00"/>
    <s v="F"/>
    <s v="Widowed"/>
    <s v="US Citizen"/>
    <s v="No"/>
    <s v="Asian"/>
    <d v="2014-09-29T00:00:00"/>
    <m/>
    <x v="0"/>
    <s v="Active"/>
    <x v="0"/>
    <x v="10"/>
    <n v="14"/>
    <s v="LinkedIn"/>
    <s v="Fully Meets"/>
    <n v="4.5"/>
    <n v="5"/>
    <n v="0"/>
    <d v="2019-01-30T00:00:0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CEFA3-7202-44E8-A82E-95C274FB672A}" name="PivotTable1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25" firstHeaderRow="0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22">
        <item x="6"/>
        <item x="5"/>
        <item x="20"/>
        <item x="12"/>
        <item x="8"/>
        <item x="19"/>
        <item x="10"/>
        <item x="18"/>
        <item x="3"/>
        <item x="17"/>
        <item x="13"/>
        <item x="15"/>
        <item x="14"/>
        <item x="11"/>
        <item x="7"/>
        <item x="2"/>
        <item x="16"/>
        <item x="0"/>
        <item x="9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6"/>
  </rowFields>
  <rowItems count="22">
    <i>
      <x v="1"/>
    </i>
    <i>
      <x v="20"/>
    </i>
    <i>
      <x v="15"/>
    </i>
    <i>
      <x v="17"/>
    </i>
    <i>
      <x v="19"/>
    </i>
    <i>
      <x v="8"/>
    </i>
    <i>
      <x v="6"/>
    </i>
    <i>
      <x v="13"/>
    </i>
    <i>
      <x v="4"/>
    </i>
    <i>
      <x v="10"/>
    </i>
    <i>
      <x v="14"/>
    </i>
    <i>
      <x/>
    </i>
    <i>
      <x v="12"/>
    </i>
    <i>
      <x v="3"/>
    </i>
    <i>
      <x v="18"/>
    </i>
    <i>
      <x v="11"/>
    </i>
    <i>
      <x v="16"/>
    </i>
    <i>
      <x v="7"/>
    </i>
    <i>
      <x v="5"/>
    </i>
    <i>
      <x v="9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1" subtotal="count" baseField="26" baseItem="1"/>
    <dataField name="Sum of Term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29A5B-7BBE-4784-8A4B-23A6C0BB6B18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2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19">
        <item x="4"/>
        <item x="6"/>
        <item x="1"/>
        <item x="14"/>
        <item x="17"/>
        <item x="2"/>
        <item x="8"/>
        <item x="15"/>
        <item x="16"/>
        <item x="12"/>
        <item x="11"/>
        <item x="0"/>
        <item x="13"/>
        <item x="7"/>
        <item x="10"/>
        <item x="9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3"/>
  </rowFields>
  <rowItems count="19">
    <i>
      <x v="11"/>
    </i>
    <i>
      <x/>
    </i>
    <i>
      <x v="17"/>
    </i>
    <i>
      <x v="10"/>
    </i>
    <i>
      <x v="2"/>
    </i>
    <i>
      <x v="5"/>
    </i>
    <i>
      <x v="1"/>
    </i>
    <i>
      <x v="14"/>
    </i>
    <i>
      <x v="16"/>
    </i>
    <i>
      <x v="15"/>
    </i>
    <i>
      <x v="13"/>
    </i>
    <i>
      <x v="12"/>
    </i>
    <i>
      <x v="9"/>
    </i>
    <i>
      <x v="7"/>
    </i>
    <i>
      <x v="8"/>
    </i>
    <i>
      <x v="6"/>
    </i>
    <i>
      <x v="3"/>
    </i>
    <i>
      <x v="4"/>
    </i>
    <i t="grand">
      <x/>
    </i>
  </rowItems>
  <colItems count="1">
    <i/>
  </colItems>
  <dataFields count="1">
    <dataField name="Count of EmpID" fld="1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6CBB2-19AB-4B9F-96ED-9811D83AAE59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x="3"/>
        <item x="5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5"/>
  </rowFields>
  <rowItems count="7">
    <i>
      <x v="3"/>
    </i>
    <i>
      <x v="2"/>
    </i>
    <i>
      <x v="4"/>
    </i>
    <i>
      <x v="5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1" subtotal="count" baseField="25" baseItem="0"/>
    <dataField name="Sum of Term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BA7C9-7D9C-4542-A28B-252F2A7F7905}" name="Table1" displayName="Table1" ref="A1:AJ312" totalsRowShown="0">
  <autoFilter ref="A1:AJ312" xr:uid="{871BA7C9-7D9C-4542-A28B-252F2A7F7905}"/>
  <tableColumns count="36">
    <tableColumn id="1" xr3:uid="{C711E0D1-2254-4737-87E7-C66AB1D94B25}" name="Employee_Name"/>
    <tableColumn id="2" xr3:uid="{E78CFBF3-F377-4461-89BF-2169990D1DCC}" name="EmpID"/>
    <tableColumn id="3" xr3:uid="{323F2613-843A-49B9-A60A-6F0FD8CE423E}" name="MarriedID"/>
    <tableColumn id="4" xr3:uid="{E82D5D9F-9113-4A90-9A58-74AE2912AC8B}" name="MaritalStatusID"/>
    <tableColumn id="5" xr3:uid="{5A4C2E8D-3A20-4663-980E-34AE1558314E}" name="GenderID"/>
    <tableColumn id="6" xr3:uid="{EDB1ED01-2DB6-447C-8F7D-96DB7ABA01CC}" name="EmpStatusID"/>
    <tableColumn id="7" xr3:uid="{6CB64C5B-8D44-419B-8917-D7C0B8572193}" name="DeptID"/>
    <tableColumn id="8" xr3:uid="{4DDC25F4-2344-46B3-9D9C-8887366A7C8D}" name="PerfScoreID"/>
    <tableColumn id="9" xr3:uid="{A06C8E40-1468-4AF5-AD91-734B5714D69E}" name="FromDiversityJobFairID"/>
    <tableColumn id="10" xr3:uid="{BA239EA5-D985-449B-8E58-A991E5228BF2}" name="Salary"/>
    <tableColumn id="11" xr3:uid="{F55917ED-ED0B-432B-BD8D-7503A790B121}" name="Termd"/>
    <tableColumn id="12" xr3:uid="{688B3760-B4BF-40AB-9B9C-225177875B89}" name="PositionID"/>
    <tableColumn id="13" xr3:uid="{D8D5002B-A237-41E5-9074-F0685F91914E}" name="Position"/>
    <tableColumn id="14" xr3:uid="{B72BF8FD-178C-491F-830C-15AB54BB8858}" name="State"/>
    <tableColumn id="15" xr3:uid="{B0E8601B-B427-433A-A5E5-1A88AD93219F}" name="Zip"/>
    <tableColumn id="16" xr3:uid="{09BFFBDC-624E-4F5A-8E81-6B86BEA87A46}" name="DOB" dataDxfId="26"/>
    <tableColumn id="17" xr3:uid="{ABF5CA72-52BF-4CD0-9F10-A73734AD4233}" name="Sex"/>
    <tableColumn id="18" xr3:uid="{10A3D019-8DFA-4A73-96DF-BC8D6A32C878}" name="MaritalDesc"/>
    <tableColumn id="19" xr3:uid="{C25B26F3-0846-4DB4-97FE-9FF04C69988F}" name="CitizenDesc"/>
    <tableColumn id="20" xr3:uid="{96B9B25B-E33B-4CBE-BB07-ED02D05B87CB}" name="HispanicLatino"/>
    <tableColumn id="21" xr3:uid="{071BBF27-BC9E-4483-873E-49CBF43842EB}" name="RaceDesc"/>
    <tableColumn id="22" xr3:uid="{6A3EA798-23E7-4DE7-B549-0AB203740FAF}" name="DateofHire" dataDxfId="25"/>
    <tableColumn id="23" xr3:uid="{587E4A02-ACB9-4F19-90B6-49549949E1E5}" name="DateofTermination"/>
    <tableColumn id="24" xr3:uid="{111803FE-BDBD-4E74-AE53-D6C50724C5A3}" name="TermReason"/>
    <tableColumn id="25" xr3:uid="{D141DF27-DB6C-4AD5-A432-070C6FB3B2A2}" name="EmploymentStatus"/>
    <tableColumn id="26" xr3:uid="{0CF14FB9-C41A-40FB-8CB7-ABA9958BD8AE}" name="Department"/>
    <tableColumn id="27" xr3:uid="{A8BB1B13-E693-4980-9497-F72108B8439B}" name="ManagerName"/>
    <tableColumn id="28" xr3:uid="{A6734CEB-BE45-44B3-A2EA-122EBE636984}" name="ManagerID"/>
    <tableColumn id="29" xr3:uid="{4748EBC6-9AEC-4ABD-A2DC-5CBD4AA9369E}" name="RecruitmentSource"/>
    <tableColumn id="30" xr3:uid="{E522BEE1-C9B3-429B-AC23-A002F780E787}" name="PerformanceScore"/>
    <tableColumn id="31" xr3:uid="{358A5D0F-5BBE-4105-B560-F803042894F1}" name="EngagementSurvey"/>
    <tableColumn id="32" xr3:uid="{64AE3E94-BDA1-4657-A67C-3672E1BBF105}" name="EmpSatisfaction"/>
    <tableColumn id="33" xr3:uid="{BB155BBD-5562-46C6-9E6E-C41B4A3C9284}" name="SpecialProjectsCount"/>
    <tableColumn id="34" xr3:uid="{2C0EFCF2-ED0B-4692-B3F6-A6BDD57CFDCA}" name="LastPerformanceReview_Date" dataDxfId="24"/>
    <tableColumn id="35" xr3:uid="{3DA4420F-CC94-4485-BE00-76EB0FC34AA4}" name="DaysLateLast30"/>
    <tableColumn id="36" xr3:uid="{E46F6627-64C0-41A0-92E7-E0B3B3624938}" name="Absenc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C328B1-0BC1-4AC3-9C20-C27DFE9862D2}" name="Table2" displayName="Table2" ref="A2:C37" totalsRowShown="0" dataDxfId="20">
  <autoFilter ref="A2:C37" xr:uid="{24C328B1-0BC1-4AC3-9C20-C27DFE9862D2}"/>
  <tableColumns count="3">
    <tableColumn id="1" xr3:uid="{D0097888-EAFF-4A94-BB5A-B513485D96BB}" name="Feature" dataDxfId="23"/>
    <tableColumn id="2" xr3:uid="{8D96037E-ECCA-40DE-9F8B-6E75DCC95164}" name="Description" dataDxfId="22"/>
    <tableColumn id="3" xr3:uid="{FAB20506-5886-402A-9580-EC5B793629D1}" name="DataType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6B598-4DA5-40D6-994C-DE3668380435}" name="Table3" displayName="Table3" ref="A4:E11" totalsRowShown="0" headerRowDxfId="2" dataDxfId="14">
  <autoFilter ref="A4:E11" xr:uid="{B4B6B598-4DA5-40D6-994C-DE3668380435}"/>
  <sortState xmlns:xlrd2="http://schemas.microsoft.com/office/spreadsheetml/2017/richdata2" ref="A5:E11">
    <sortCondition descending="1" ref="E4:E11"/>
  </sortState>
  <tableColumns count="5">
    <tableColumn id="1" xr3:uid="{3D8513A8-2D77-4A62-B57A-FE841938667B}" name="Department" dataDxfId="19"/>
    <tableColumn id="2" xr3:uid="{AE92DAEF-60FB-46E4-847B-7C21150C8596}" name="Total Emp" dataDxfId="18"/>
    <tableColumn id="3" xr3:uid="{F69B4EBB-CBDE-45AF-B0F7-1F072F7F0F5E}" name="Terminated" dataDxfId="17"/>
    <tableColumn id="4" xr3:uid="{73A7A6CA-3669-4006-AAD6-5BAEB250F695}" name="Active" dataDxfId="16"/>
    <tableColumn id="5" xr3:uid="{1A37DE88-4224-4301-A6C9-7FEA23D43CF8}" name="Attrition Rate" dataDxfId="15" dataCellStyle="Percent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37DEF6-4CF9-4978-987C-46E92189D4C3}" name="Table6" displayName="Table6" ref="G4:I14" totalsRowShown="0" headerRowDxfId="1" tableBorderDxfId="13">
  <autoFilter ref="G4:I14" xr:uid="{8837DEF6-4CF9-4978-987C-46E92189D4C3}"/>
  <tableColumns count="3">
    <tableColumn id="1" xr3:uid="{14FBA231-3221-4FD2-989C-CF8A2D2C1D92}" name="Reason" dataDxfId="12">
      <calculatedColumnFormula>INDEX('Pivot Tables'!F5:F14,1,1)</calculatedColumnFormula>
    </tableColumn>
    <tableColumn id="2" xr3:uid="{30C664B1-E6ED-4943-BD79-7617F84C7023}" name="Count" dataDxfId="11">
      <calculatedColumnFormula>VLOOKUP(G5,'Pivot Tables'!F4:G21,2,FALSE)</calculatedColumnFormula>
    </tableColumn>
    <tableColumn id="3" xr3:uid="{1B5DEE34-61E7-403B-BF24-4F0F481CA5E0}" name="% Leave" dataDxfId="10" dataCellStyle="Percent">
      <calculatedColumnFormula>H5/Total_Terminations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45049F-A9AB-4378-B91F-E40B745F04F3}" name="Table7" displayName="Table7" ref="K4:N13" totalsRowShown="0" headerRowDxfId="0" dataDxfId="3" headerRowBorderDxfId="8" tableBorderDxfId="9">
  <autoFilter ref="K4:N13" xr:uid="{D745049F-A9AB-4378-B91F-E40B745F04F3}"/>
  <tableColumns count="4">
    <tableColumn id="1" xr3:uid="{EE9FB931-7E21-49F6-8A1A-ED57AFC2FBE4}" name="Manager" dataDxfId="7"/>
    <tableColumn id="2" xr3:uid="{B46AAC90-D4E0-4CAD-A532-6E2190710BD8}" name="Team Size" dataDxfId="6">
      <calculatedColumnFormula>VLOOKUP(K5,'Pivot Tables'!$I$4:$K$24,2,FALSE)</calculatedColumnFormula>
    </tableColumn>
    <tableColumn id="3" xr3:uid="{BB1B856C-8CD5-4E5C-949D-58137BEF4BB5}" name="Team Termd" dataDxfId="5"/>
    <tableColumn id="4" xr3:uid="{7B6246AB-5716-4005-86E0-C7AF43E083D4}" name="Attrition Rate" dataDxfId="4" dataCellStyle="Percent">
      <calculatedColumnFormula>M5/L5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rpubs.com/rhuebner/hrd_cb_v1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3966-8DC2-4CAD-A1BE-8FE59E835FB1}">
  <dimension ref="A1:V39"/>
  <sheetViews>
    <sheetView tabSelected="1" workbookViewId="0">
      <selection activeCell="D54" sqref="D54"/>
    </sheetView>
  </sheetViews>
  <sheetFormatPr defaultRowHeight="15" x14ac:dyDescent="0.25"/>
  <cols>
    <col min="1" max="16384" width="9.140625" style="18"/>
  </cols>
  <sheetData>
    <row r="1" spans="1:16" s="21" customFormat="1" ht="21" x14ac:dyDescent="0.25">
      <c r="A1" s="21" t="s">
        <v>0</v>
      </c>
    </row>
    <row r="3" spans="1:16" s="22" customFormat="1" x14ac:dyDescent="0.25"/>
    <row r="4" spans="1:16" s="22" customFormat="1" x14ac:dyDescent="0.25">
      <c r="B4" s="24" t="s">
        <v>1</v>
      </c>
      <c r="C4" s="24"/>
      <c r="F4" s="24" t="s">
        <v>2</v>
      </c>
      <c r="G4" s="24"/>
      <c r="J4" s="24" t="s">
        <v>3</v>
      </c>
      <c r="K4" s="24"/>
      <c r="N4" s="24" t="s">
        <v>4</v>
      </c>
      <c r="O4" s="24"/>
      <c r="P4" s="27"/>
    </row>
    <row r="5" spans="1:16" s="22" customFormat="1" ht="24" x14ac:dyDescent="0.4">
      <c r="B5" s="23">
        <v>311</v>
      </c>
      <c r="C5" s="23"/>
      <c r="F5" s="25">
        <v>207</v>
      </c>
      <c r="G5" s="25"/>
      <c r="J5" s="28">
        <v>104</v>
      </c>
      <c r="K5" s="28"/>
      <c r="L5" s="26"/>
      <c r="N5" s="29">
        <v>0.33400000000000002</v>
      </c>
      <c r="O5" s="29"/>
    </row>
    <row r="6" spans="1:16" s="22" customFormat="1" x14ac:dyDescent="0.25"/>
    <row r="7" spans="1:16" s="22" customFormat="1" x14ac:dyDescent="0.25"/>
    <row r="32" spans="1:1" s="30" customFormat="1" ht="18.75" x14ac:dyDescent="0.25">
      <c r="A32" s="30" t="s">
        <v>5</v>
      </c>
    </row>
    <row r="33" spans="1:22" ht="15.75" x14ac:dyDescent="0.25">
      <c r="A33" s="33" t="s">
        <v>561</v>
      </c>
      <c r="B33" s="34"/>
      <c r="C33" s="35"/>
      <c r="D33" s="31" t="s">
        <v>6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6"/>
    </row>
    <row r="34" spans="1:22" ht="15.75" x14ac:dyDescent="0.25">
      <c r="A34" s="33" t="s">
        <v>562</v>
      </c>
      <c r="B34" s="34"/>
      <c r="C34" s="35"/>
      <c r="D34" s="32" t="s">
        <v>7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6"/>
    </row>
    <row r="35" spans="1:22" ht="15.75" x14ac:dyDescent="0.25">
      <c r="A35" s="33" t="s">
        <v>563</v>
      </c>
      <c r="B35" s="34"/>
      <c r="C35" s="35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6"/>
    </row>
    <row r="36" spans="1:22" ht="15.75" x14ac:dyDescent="0.25">
      <c r="A36" s="33" t="s">
        <v>563</v>
      </c>
      <c r="B36" s="34"/>
      <c r="C36" s="35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6"/>
    </row>
    <row r="37" spans="1:22" ht="15.75" x14ac:dyDescent="0.25">
      <c r="A37" s="33" t="s">
        <v>563</v>
      </c>
      <c r="B37" s="34"/>
      <c r="C37" s="35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6"/>
    </row>
    <row r="38" spans="1:22" ht="15.75" x14ac:dyDescent="0.25">
      <c r="A38" s="33" t="s">
        <v>563</v>
      </c>
      <c r="B38" s="34"/>
      <c r="C38" s="35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6"/>
    </row>
    <row r="39" spans="1:22" ht="15.75" x14ac:dyDescent="0.25">
      <c r="A39" s="33" t="s">
        <v>563</v>
      </c>
      <c r="B39" s="34"/>
      <c r="C39" s="35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6"/>
    </row>
  </sheetData>
  <mergeCells count="17">
    <mergeCell ref="N4:O4"/>
    <mergeCell ref="A32:XFD32"/>
    <mergeCell ref="A39:C39"/>
    <mergeCell ref="A38:C38"/>
    <mergeCell ref="A37:C37"/>
    <mergeCell ref="A36:C36"/>
    <mergeCell ref="A35:C35"/>
    <mergeCell ref="A34:C34"/>
    <mergeCell ref="A33:C33"/>
    <mergeCell ref="A1:XFD1"/>
    <mergeCell ref="B4:C4"/>
    <mergeCell ref="B5:C5"/>
    <mergeCell ref="F4:G4"/>
    <mergeCell ref="F5:G5"/>
    <mergeCell ref="J5:K5"/>
    <mergeCell ref="N5:O5"/>
    <mergeCell ref="J4:K4"/>
  </mergeCells>
  <phoneticPr fontId="3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93E9-5446-470C-A919-273F31BA6C5F}">
  <dimension ref="A1:AJ312"/>
  <sheetViews>
    <sheetView workbookViewId="0">
      <selection activeCell="F35" sqref="F35"/>
    </sheetView>
  </sheetViews>
  <sheetFormatPr defaultRowHeight="15" x14ac:dyDescent="0.25"/>
  <cols>
    <col min="1" max="1" width="17.7109375" customWidth="1"/>
    <col min="3" max="3" width="11.85546875" customWidth="1"/>
    <col min="4" max="4" width="16.7109375" customWidth="1"/>
    <col min="5" max="5" width="11.28515625" customWidth="1"/>
    <col min="6" max="6" width="14.28515625" customWidth="1"/>
    <col min="8" max="8" width="13.28515625" customWidth="1"/>
    <col min="9" max="9" width="23.42578125" customWidth="1"/>
    <col min="12" max="12" width="12.28515625" customWidth="1"/>
    <col min="13" max="13" width="10.42578125" customWidth="1"/>
    <col min="18" max="18" width="13.7109375" customWidth="1"/>
    <col min="19" max="19" width="13.28515625" customWidth="1"/>
    <col min="20" max="20" width="16.42578125" customWidth="1"/>
    <col min="21" max="21" width="11.7109375" customWidth="1"/>
    <col min="22" max="22" width="12.42578125" customWidth="1"/>
    <col min="23" max="23" width="19.5703125" customWidth="1"/>
    <col min="24" max="24" width="14.140625" customWidth="1"/>
    <col min="25" max="25" width="19.42578125" customWidth="1"/>
    <col min="26" max="26" width="13.42578125" customWidth="1"/>
    <col min="27" max="27" width="16.140625" customWidth="1"/>
    <col min="28" max="28" width="12.7109375" customWidth="1"/>
    <col min="29" max="29" width="19.7109375" customWidth="1"/>
    <col min="30" max="30" width="19.28515625" customWidth="1"/>
    <col min="31" max="31" width="19.42578125" customWidth="1"/>
    <col min="32" max="32" width="17.42578125" customWidth="1"/>
    <col min="33" max="33" width="21.85546875" customWidth="1"/>
    <col min="34" max="34" width="28.85546875" customWidth="1"/>
    <col min="35" max="35" width="16.5703125" customWidth="1"/>
    <col min="36" max="36" width="11.5703125" customWidth="1"/>
  </cols>
  <sheetData>
    <row r="1" spans="1:36" x14ac:dyDescent="0.25">
      <c r="A1" t="s">
        <v>495</v>
      </c>
      <c r="B1" t="s">
        <v>494</v>
      </c>
      <c r="C1" t="s">
        <v>493</v>
      </c>
      <c r="D1" t="s">
        <v>492</v>
      </c>
      <c r="E1" t="s">
        <v>491</v>
      </c>
      <c r="F1" t="s">
        <v>490</v>
      </c>
      <c r="G1" t="s">
        <v>489</v>
      </c>
      <c r="H1" t="s">
        <v>488</v>
      </c>
      <c r="I1" t="s">
        <v>487</v>
      </c>
      <c r="J1" t="s">
        <v>486</v>
      </c>
      <c r="K1" t="s">
        <v>485</v>
      </c>
      <c r="L1" t="s">
        <v>484</v>
      </c>
      <c r="M1" t="s">
        <v>483</v>
      </c>
      <c r="N1" t="s">
        <v>482</v>
      </c>
      <c r="O1" t="s">
        <v>481</v>
      </c>
      <c r="P1" t="s">
        <v>480</v>
      </c>
      <c r="Q1" t="s">
        <v>479</v>
      </c>
      <c r="R1" t="s">
        <v>478</v>
      </c>
      <c r="S1" t="s">
        <v>477</v>
      </c>
      <c r="T1" t="s">
        <v>476</v>
      </c>
      <c r="U1" t="s">
        <v>475</v>
      </c>
      <c r="V1" t="s">
        <v>474</v>
      </c>
      <c r="W1" t="s">
        <v>473</v>
      </c>
      <c r="X1" t="s">
        <v>472</v>
      </c>
      <c r="Y1" t="s">
        <v>471</v>
      </c>
      <c r="Z1" t="s">
        <v>470</v>
      </c>
      <c r="AA1" t="s">
        <v>469</v>
      </c>
      <c r="AB1" t="s">
        <v>468</v>
      </c>
      <c r="AC1" t="s">
        <v>467</v>
      </c>
      <c r="AD1" t="s">
        <v>466</v>
      </c>
      <c r="AE1" t="s">
        <v>465</v>
      </c>
      <c r="AF1" t="s">
        <v>464</v>
      </c>
      <c r="AG1" t="s">
        <v>463</v>
      </c>
      <c r="AH1" t="s">
        <v>462</v>
      </c>
      <c r="AI1" t="s">
        <v>461</v>
      </c>
      <c r="AJ1" t="s">
        <v>460</v>
      </c>
    </row>
    <row r="2" spans="1:36" x14ac:dyDescent="0.25">
      <c r="A2" t="s">
        <v>459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20</v>
      </c>
      <c r="N2" t="s">
        <v>19</v>
      </c>
      <c r="O2">
        <v>1960</v>
      </c>
      <c r="P2" s="1">
        <v>30507</v>
      </c>
      <c r="Q2" t="s">
        <v>40</v>
      </c>
      <c r="R2" t="s">
        <v>26</v>
      </c>
      <c r="S2" t="s">
        <v>16</v>
      </c>
      <c r="T2" t="s">
        <v>15</v>
      </c>
      <c r="U2" t="s">
        <v>25</v>
      </c>
      <c r="V2" s="1">
        <v>40729</v>
      </c>
      <c r="X2" t="s">
        <v>13</v>
      </c>
      <c r="Y2" t="s">
        <v>12</v>
      </c>
      <c r="Z2" t="s">
        <v>11</v>
      </c>
      <c r="AA2" t="s">
        <v>78</v>
      </c>
      <c r="AB2">
        <v>22</v>
      </c>
      <c r="AC2" t="s">
        <v>9</v>
      </c>
      <c r="AD2" t="s">
        <v>29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458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414</v>
      </c>
      <c r="N3" t="s">
        <v>19</v>
      </c>
      <c r="O3">
        <v>2148</v>
      </c>
      <c r="P3" s="1">
        <v>27519</v>
      </c>
      <c r="Q3" t="s">
        <v>40</v>
      </c>
      <c r="R3" t="s">
        <v>58</v>
      </c>
      <c r="S3" t="s">
        <v>16</v>
      </c>
      <c r="T3" t="s">
        <v>15</v>
      </c>
      <c r="U3" t="s">
        <v>25</v>
      </c>
      <c r="V3" s="1">
        <v>42093</v>
      </c>
      <c r="W3" s="1">
        <v>42537</v>
      </c>
      <c r="X3" t="s">
        <v>73</v>
      </c>
      <c r="Y3" t="s">
        <v>36</v>
      </c>
      <c r="Z3" t="s">
        <v>24</v>
      </c>
      <c r="AA3" t="s">
        <v>23</v>
      </c>
      <c r="AB3">
        <v>4</v>
      </c>
      <c r="AC3" t="s">
        <v>66</v>
      </c>
      <c r="AD3" t="s">
        <v>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457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41</v>
      </c>
      <c r="N4" t="s">
        <v>19</v>
      </c>
      <c r="O4">
        <v>1810</v>
      </c>
      <c r="P4" s="1">
        <v>32405</v>
      </c>
      <c r="Q4" t="s">
        <v>18</v>
      </c>
      <c r="R4" t="s">
        <v>58</v>
      </c>
      <c r="S4" t="s">
        <v>16</v>
      </c>
      <c r="T4" t="s">
        <v>15</v>
      </c>
      <c r="U4" t="s">
        <v>25</v>
      </c>
      <c r="V4" s="1">
        <v>40729</v>
      </c>
      <c r="W4" s="1">
        <v>41176</v>
      </c>
      <c r="X4" t="s">
        <v>61</v>
      </c>
      <c r="Y4" t="s">
        <v>36</v>
      </c>
      <c r="Z4" t="s">
        <v>11</v>
      </c>
      <c r="AA4" t="s">
        <v>39</v>
      </c>
      <c r="AB4">
        <v>20</v>
      </c>
      <c r="AC4" t="s">
        <v>9</v>
      </c>
      <c r="AD4" t="s">
        <v>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456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20</v>
      </c>
      <c r="N5" t="s">
        <v>19</v>
      </c>
      <c r="O5">
        <v>1886</v>
      </c>
      <c r="P5" s="1">
        <v>32413</v>
      </c>
      <c r="Q5" t="s">
        <v>18</v>
      </c>
      <c r="R5" t="s">
        <v>58</v>
      </c>
      <c r="S5" t="s">
        <v>16</v>
      </c>
      <c r="T5" t="s">
        <v>15</v>
      </c>
      <c r="U5" t="s">
        <v>25</v>
      </c>
      <c r="V5" s="1">
        <v>39454</v>
      </c>
      <c r="X5" t="s">
        <v>13</v>
      </c>
      <c r="Y5" t="s">
        <v>12</v>
      </c>
      <c r="Z5" t="s">
        <v>11</v>
      </c>
      <c r="AA5" t="s">
        <v>72</v>
      </c>
      <c r="AB5">
        <v>16</v>
      </c>
      <c r="AC5" t="s">
        <v>66</v>
      </c>
      <c r="AD5" t="s">
        <v>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455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20</v>
      </c>
      <c r="N6" t="s">
        <v>19</v>
      </c>
      <c r="O6">
        <v>2169</v>
      </c>
      <c r="P6" s="1">
        <v>32759</v>
      </c>
      <c r="Q6" t="s">
        <v>18</v>
      </c>
      <c r="R6" t="s">
        <v>52</v>
      </c>
      <c r="S6" t="s">
        <v>16</v>
      </c>
      <c r="T6" t="s">
        <v>15</v>
      </c>
      <c r="U6" t="s">
        <v>25</v>
      </c>
      <c r="V6" s="1">
        <v>40735</v>
      </c>
      <c r="W6" s="1">
        <v>42619</v>
      </c>
      <c r="X6" t="s">
        <v>117</v>
      </c>
      <c r="Y6" t="s">
        <v>36</v>
      </c>
      <c r="Z6" t="s">
        <v>11</v>
      </c>
      <c r="AA6" t="s">
        <v>60</v>
      </c>
      <c r="AB6">
        <v>39</v>
      </c>
      <c r="AC6" t="s">
        <v>34</v>
      </c>
      <c r="AD6" t="s">
        <v>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454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20</v>
      </c>
      <c r="N7" t="s">
        <v>19</v>
      </c>
      <c r="O7">
        <v>1844</v>
      </c>
      <c r="P7" s="1">
        <v>28267</v>
      </c>
      <c r="Q7" t="s">
        <v>18</v>
      </c>
      <c r="R7" t="s">
        <v>26</v>
      </c>
      <c r="S7" t="s">
        <v>16</v>
      </c>
      <c r="T7" t="s">
        <v>15</v>
      </c>
      <c r="U7" t="s">
        <v>25</v>
      </c>
      <c r="V7" s="1">
        <v>40917</v>
      </c>
      <c r="X7" t="s">
        <v>13</v>
      </c>
      <c r="Y7" t="s">
        <v>12</v>
      </c>
      <c r="Z7" t="s">
        <v>11</v>
      </c>
      <c r="AA7" t="s">
        <v>55</v>
      </c>
      <c r="AB7">
        <v>11</v>
      </c>
      <c r="AC7" t="s">
        <v>9</v>
      </c>
      <c r="AD7" t="s">
        <v>29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453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105</v>
      </c>
      <c r="N8" t="s">
        <v>19</v>
      </c>
      <c r="O8">
        <v>2110</v>
      </c>
      <c r="P8" s="1">
        <v>28999</v>
      </c>
      <c r="Q8" t="s">
        <v>18</v>
      </c>
      <c r="R8" t="s">
        <v>26</v>
      </c>
      <c r="S8" t="s">
        <v>16</v>
      </c>
      <c r="T8" t="s">
        <v>15</v>
      </c>
      <c r="U8" t="s">
        <v>25</v>
      </c>
      <c r="V8" s="1">
        <v>41953</v>
      </c>
      <c r="X8" t="s">
        <v>13</v>
      </c>
      <c r="Y8" t="s">
        <v>12</v>
      </c>
      <c r="Z8" t="s">
        <v>102</v>
      </c>
      <c r="AA8" t="s">
        <v>101</v>
      </c>
      <c r="AB8">
        <v>10</v>
      </c>
      <c r="AC8" t="s">
        <v>9</v>
      </c>
      <c r="AD8" t="s">
        <v>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452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20</v>
      </c>
      <c r="N9" t="s">
        <v>19</v>
      </c>
      <c r="O9">
        <v>2199</v>
      </c>
      <c r="P9" s="1">
        <v>30365</v>
      </c>
      <c r="Q9" t="s">
        <v>40</v>
      </c>
      <c r="R9" t="s">
        <v>17</v>
      </c>
      <c r="S9" t="s">
        <v>16</v>
      </c>
      <c r="T9" t="s">
        <v>15</v>
      </c>
      <c r="U9" t="s">
        <v>25</v>
      </c>
      <c r="V9" s="1">
        <v>41547</v>
      </c>
      <c r="X9" t="s">
        <v>13</v>
      </c>
      <c r="Y9" t="s">
        <v>12</v>
      </c>
      <c r="Z9" t="s">
        <v>11</v>
      </c>
      <c r="AA9" t="s">
        <v>47</v>
      </c>
      <c r="AB9">
        <v>19</v>
      </c>
      <c r="AC9" t="s">
        <v>22</v>
      </c>
      <c r="AD9" t="s">
        <v>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451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20</v>
      </c>
      <c r="N10" t="s">
        <v>19</v>
      </c>
      <c r="O10">
        <v>1902</v>
      </c>
      <c r="P10" s="1">
        <v>25610</v>
      </c>
      <c r="Q10" t="s">
        <v>18</v>
      </c>
      <c r="R10" t="s">
        <v>26</v>
      </c>
      <c r="S10" t="s">
        <v>16</v>
      </c>
      <c r="T10" t="s">
        <v>15</v>
      </c>
      <c r="U10" t="s">
        <v>49</v>
      </c>
      <c r="V10" s="1">
        <v>40000</v>
      </c>
      <c r="X10" t="s">
        <v>13</v>
      </c>
      <c r="Y10" t="s">
        <v>12</v>
      </c>
      <c r="Z10" t="s">
        <v>11</v>
      </c>
      <c r="AA10" t="s">
        <v>35</v>
      </c>
      <c r="AB10">
        <v>12</v>
      </c>
      <c r="AC10" t="s">
        <v>46</v>
      </c>
      <c r="AD10" t="s">
        <v>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450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144</v>
      </c>
      <c r="N11" t="s">
        <v>19</v>
      </c>
      <c r="O11">
        <v>1886</v>
      </c>
      <c r="P11" s="1">
        <v>32149</v>
      </c>
      <c r="Q11" t="s">
        <v>40</v>
      </c>
      <c r="R11" t="s">
        <v>52</v>
      </c>
      <c r="S11" t="s">
        <v>16</v>
      </c>
      <c r="T11" t="s">
        <v>15</v>
      </c>
      <c r="U11" t="s">
        <v>25</v>
      </c>
      <c r="V11" s="1">
        <v>42009</v>
      </c>
      <c r="X11" t="s">
        <v>13</v>
      </c>
      <c r="Y11" t="s">
        <v>12</v>
      </c>
      <c r="Z11" t="s">
        <v>24</v>
      </c>
      <c r="AA11" t="s">
        <v>63</v>
      </c>
      <c r="AB11">
        <v>7</v>
      </c>
      <c r="AC11" t="s">
        <v>66</v>
      </c>
      <c r="AD11" t="s">
        <v>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449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20</v>
      </c>
      <c r="N12" t="s">
        <v>19</v>
      </c>
      <c r="O12">
        <v>1902</v>
      </c>
      <c r="P12" s="1">
        <v>27041</v>
      </c>
      <c r="Q12" t="s">
        <v>18</v>
      </c>
      <c r="R12" t="s">
        <v>58</v>
      </c>
      <c r="S12" t="s">
        <v>16</v>
      </c>
      <c r="T12" t="s">
        <v>50</v>
      </c>
      <c r="U12" t="s">
        <v>49</v>
      </c>
      <c r="V12" s="1">
        <v>40553</v>
      </c>
      <c r="W12" s="1">
        <v>42747</v>
      </c>
      <c r="X12" t="s">
        <v>37</v>
      </c>
      <c r="Y12" t="s">
        <v>36</v>
      </c>
      <c r="Z12" t="s">
        <v>11</v>
      </c>
      <c r="AA12" t="s">
        <v>10</v>
      </c>
      <c r="AB12">
        <v>14</v>
      </c>
      <c r="AC12" t="s">
        <v>46</v>
      </c>
      <c r="AD12" t="s">
        <v>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448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20</v>
      </c>
      <c r="N13" t="s">
        <v>19</v>
      </c>
      <c r="O13">
        <v>2062</v>
      </c>
      <c r="P13" s="1">
        <v>27081</v>
      </c>
      <c r="Q13" t="s">
        <v>40</v>
      </c>
      <c r="R13" t="s">
        <v>58</v>
      </c>
      <c r="S13" t="s">
        <v>16</v>
      </c>
      <c r="T13" t="s">
        <v>50</v>
      </c>
      <c r="U13" t="s">
        <v>49</v>
      </c>
      <c r="V13" s="1">
        <v>41001</v>
      </c>
      <c r="W13" s="1">
        <v>42632</v>
      </c>
      <c r="X13" t="s">
        <v>56</v>
      </c>
      <c r="Y13" t="s">
        <v>36</v>
      </c>
      <c r="Z13" t="s">
        <v>11</v>
      </c>
      <c r="AA13" t="s">
        <v>39</v>
      </c>
      <c r="AB13">
        <v>20</v>
      </c>
      <c r="AC13" t="s">
        <v>46</v>
      </c>
      <c r="AD13" t="s">
        <v>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447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27</v>
      </c>
      <c r="N14" t="s">
        <v>241</v>
      </c>
      <c r="O14">
        <v>78230</v>
      </c>
      <c r="P14" s="1">
        <v>32328</v>
      </c>
      <c r="Q14" t="s">
        <v>40</v>
      </c>
      <c r="R14" t="s">
        <v>52</v>
      </c>
      <c r="S14" t="s">
        <v>16</v>
      </c>
      <c r="T14" t="s">
        <v>15</v>
      </c>
      <c r="U14" t="s">
        <v>49</v>
      </c>
      <c r="V14" s="1">
        <v>41953</v>
      </c>
      <c r="X14" t="s">
        <v>13</v>
      </c>
      <c r="Y14" t="s">
        <v>12</v>
      </c>
      <c r="Z14" t="s">
        <v>24</v>
      </c>
      <c r="AA14" t="s">
        <v>23</v>
      </c>
      <c r="AB14">
        <v>4</v>
      </c>
      <c r="AC14" t="s">
        <v>46</v>
      </c>
      <c r="AD14" t="s">
        <v>29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446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20</v>
      </c>
      <c r="N15" t="s">
        <v>19</v>
      </c>
      <c r="O15">
        <v>1810</v>
      </c>
      <c r="P15" s="1">
        <v>30517</v>
      </c>
      <c r="Q15" t="s">
        <v>40</v>
      </c>
      <c r="R15" t="s">
        <v>26</v>
      </c>
      <c r="S15" t="s">
        <v>16</v>
      </c>
      <c r="T15" t="s">
        <v>15</v>
      </c>
      <c r="U15" t="s">
        <v>95</v>
      </c>
      <c r="V15" s="1">
        <v>40959</v>
      </c>
      <c r="X15" t="s">
        <v>13</v>
      </c>
      <c r="Y15" t="s">
        <v>12</v>
      </c>
      <c r="Z15" t="s">
        <v>11</v>
      </c>
      <c r="AA15" t="s">
        <v>80</v>
      </c>
      <c r="AB15">
        <v>18</v>
      </c>
      <c r="AC15" t="s">
        <v>34</v>
      </c>
      <c r="AD15" t="s">
        <v>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445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20</v>
      </c>
      <c r="N16" t="s">
        <v>19</v>
      </c>
      <c r="O16">
        <v>2747</v>
      </c>
      <c r="P16" s="1">
        <v>28321</v>
      </c>
      <c r="Q16" t="s">
        <v>40</v>
      </c>
      <c r="R16" t="s">
        <v>52</v>
      </c>
      <c r="S16" t="s">
        <v>16</v>
      </c>
      <c r="T16" t="s">
        <v>15</v>
      </c>
      <c r="U16" t="s">
        <v>25</v>
      </c>
      <c r="V16" s="1">
        <v>41176</v>
      </c>
      <c r="W16" s="1">
        <v>42831</v>
      </c>
      <c r="X16" t="s">
        <v>37</v>
      </c>
      <c r="Y16" t="s">
        <v>36</v>
      </c>
      <c r="Z16" t="s">
        <v>11</v>
      </c>
      <c r="AA16" t="s">
        <v>78</v>
      </c>
      <c r="AB16">
        <v>22</v>
      </c>
      <c r="AC16" t="s">
        <v>444</v>
      </c>
      <c r="AD16" t="s">
        <v>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443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20</v>
      </c>
      <c r="N17" t="s">
        <v>19</v>
      </c>
      <c r="O17">
        <v>2050</v>
      </c>
      <c r="P17" s="1">
        <v>29877</v>
      </c>
      <c r="Q17" t="s">
        <v>40</v>
      </c>
      <c r="R17" t="s">
        <v>26</v>
      </c>
      <c r="S17" t="s">
        <v>16</v>
      </c>
      <c r="T17" t="s">
        <v>15</v>
      </c>
      <c r="U17" t="s">
        <v>25</v>
      </c>
      <c r="V17" s="1">
        <v>40595</v>
      </c>
      <c r="W17" s="1">
        <v>42951</v>
      </c>
      <c r="X17" t="s">
        <v>178</v>
      </c>
      <c r="Y17" t="s">
        <v>81</v>
      </c>
      <c r="Z17" t="s">
        <v>11</v>
      </c>
      <c r="AA17" t="s">
        <v>80</v>
      </c>
      <c r="AB17">
        <v>18</v>
      </c>
      <c r="AC17" t="s">
        <v>34</v>
      </c>
      <c r="AD17" t="s">
        <v>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442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41</v>
      </c>
      <c r="N18" t="s">
        <v>19</v>
      </c>
      <c r="O18">
        <v>2145</v>
      </c>
      <c r="P18" s="1">
        <v>24214</v>
      </c>
      <c r="Q18" t="s">
        <v>18</v>
      </c>
      <c r="R18" t="s">
        <v>58</v>
      </c>
      <c r="S18" t="s">
        <v>16</v>
      </c>
      <c r="T18" t="s">
        <v>15</v>
      </c>
      <c r="U18" t="s">
        <v>25</v>
      </c>
      <c r="V18" s="1">
        <v>42572</v>
      </c>
      <c r="X18" t="s">
        <v>13</v>
      </c>
      <c r="Y18" t="s">
        <v>12</v>
      </c>
      <c r="Z18" t="s">
        <v>11</v>
      </c>
      <c r="AA18" t="s">
        <v>80</v>
      </c>
      <c r="AB18">
        <v>18</v>
      </c>
      <c r="AC18" t="s">
        <v>22</v>
      </c>
      <c r="AD18" t="s">
        <v>29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441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20</v>
      </c>
      <c r="N19" t="s">
        <v>19</v>
      </c>
      <c r="O19">
        <v>1915</v>
      </c>
      <c r="P19" s="1">
        <v>25868</v>
      </c>
      <c r="Q19" t="s">
        <v>18</v>
      </c>
      <c r="R19" t="s">
        <v>26</v>
      </c>
      <c r="S19" t="s">
        <v>57</v>
      </c>
      <c r="T19" t="s">
        <v>15</v>
      </c>
      <c r="U19" t="s">
        <v>25</v>
      </c>
      <c r="V19" s="1">
        <v>40637</v>
      </c>
      <c r="X19" t="s">
        <v>13</v>
      </c>
      <c r="Y19" t="s">
        <v>12</v>
      </c>
      <c r="Z19" t="s">
        <v>11</v>
      </c>
      <c r="AA19" t="s">
        <v>72</v>
      </c>
      <c r="AB19">
        <v>16</v>
      </c>
      <c r="AC19" t="s">
        <v>34</v>
      </c>
      <c r="AD19" t="s">
        <v>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440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85</v>
      </c>
      <c r="N20" t="s">
        <v>19</v>
      </c>
      <c r="O20">
        <v>2026</v>
      </c>
      <c r="P20" s="1">
        <v>31506</v>
      </c>
      <c r="Q20" t="s">
        <v>18</v>
      </c>
      <c r="R20" t="s">
        <v>26</v>
      </c>
      <c r="S20" t="s">
        <v>16</v>
      </c>
      <c r="T20" t="s">
        <v>50</v>
      </c>
      <c r="U20" t="s">
        <v>25</v>
      </c>
      <c r="V20" s="1">
        <v>41827</v>
      </c>
      <c r="W20" s="1">
        <v>42259</v>
      </c>
      <c r="X20" t="s">
        <v>205</v>
      </c>
      <c r="Y20" t="s">
        <v>81</v>
      </c>
      <c r="Z20" t="s">
        <v>24</v>
      </c>
      <c r="AA20" t="s">
        <v>23</v>
      </c>
      <c r="AB20">
        <v>4</v>
      </c>
      <c r="AC20" t="s">
        <v>34</v>
      </c>
      <c r="AD20" t="s">
        <v>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439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20</v>
      </c>
      <c r="N21" t="s">
        <v>19</v>
      </c>
      <c r="O21">
        <v>2452</v>
      </c>
      <c r="P21" s="1">
        <v>28951</v>
      </c>
      <c r="Q21" t="s">
        <v>40</v>
      </c>
      <c r="R21" t="s">
        <v>26</v>
      </c>
      <c r="S21" t="s">
        <v>16</v>
      </c>
      <c r="T21" t="s">
        <v>15</v>
      </c>
      <c r="U21" t="s">
        <v>14</v>
      </c>
      <c r="V21" s="1">
        <v>41463</v>
      </c>
      <c r="X21" t="s">
        <v>13</v>
      </c>
      <c r="Y21" t="s">
        <v>12</v>
      </c>
      <c r="Z21" t="s">
        <v>11</v>
      </c>
      <c r="AA21" t="s">
        <v>60</v>
      </c>
      <c r="AC21" t="s">
        <v>9</v>
      </c>
      <c r="AD21" t="s">
        <v>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438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20</v>
      </c>
      <c r="N22" t="s">
        <v>19</v>
      </c>
      <c r="O22">
        <v>2072</v>
      </c>
      <c r="P22" s="1">
        <v>25924</v>
      </c>
      <c r="Q22" t="s">
        <v>40</v>
      </c>
      <c r="R22" t="s">
        <v>26</v>
      </c>
      <c r="S22" t="s">
        <v>16</v>
      </c>
      <c r="T22" t="s">
        <v>50</v>
      </c>
      <c r="U22" t="s">
        <v>25</v>
      </c>
      <c r="V22" s="1">
        <v>41001</v>
      </c>
      <c r="X22" t="s">
        <v>13</v>
      </c>
      <c r="Y22" t="s">
        <v>12</v>
      </c>
      <c r="Z22" t="s">
        <v>11</v>
      </c>
      <c r="AA22" t="s">
        <v>55</v>
      </c>
      <c r="AB22">
        <v>11</v>
      </c>
      <c r="AC22" t="s">
        <v>34</v>
      </c>
      <c r="AD22" t="s">
        <v>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437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20</v>
      </c>
      <c r="N23" t="s">
        <v>19</v>
      </c>
      <c r="O23">
        <v>2027</v>
      </c>
      <c r="P23" s="1">
        <v>21546</v>
      </c>
      <c r="Q23" t="s">
        <v>18</v>
      </c>
      <c r="R23" t="s">
        <v>52</v>
      </c>
      <c r="S23" t="s">
        <v>16</v>
      </c>
      <c r="T23" t="s">
        <v>15</v>
      </c>
      <c r="U23" t="s">
        <v>14</v>
      </c>
      <c r="V23" s="1">
        <v>41505</v>
      </c>
      <c r="X23" t="s">
        <v>13</v>
      </c>
      <c r="Y23" t="s">
        <v>12</v>
      </c>
      <c r="Z23" t="s">
        <v>11</v>
      </c>
      <c r="AA23" t="s">
        <v>47</v>
      </c>
      <c r="AB23">
        <v>19</v>
      </c>
      <c r="AC23" t="s">
        <v>66</v>
      </c>
      <c r="AD23" t="s">
        <v>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436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20</v>
      </c>
      <c r="N24" t="s">
        <v>19</v>
      </c>
      <c r="O24">
        <v>2031</v>
      </c>
      <c r="P24" s="1">
        <v>32752</v>
      </c>
      <c r="Q24" t="s">
        <v>18</v>
      </c>
      <c r="R24" t="s">
        <v>58</v>
      </c>
      <c r="S24" t="s">
        <v>16</v>
      </c>
      <c r="T24" t="s">
        <v>15</v>
      </c>
      <c r="U24" t="s">
        <v>25</v>
      </c>
      <c r="V24" s="1">
        <v>41827</v>
      </c>
      <c r="X24" t="s">
        <v>13</v>
      </c>
      <c r="Y24" t="s">
        <v>12</v>
      </c>
      <c r="Z24" t="s">
        <v>11</v>
      </c>
      <c r="AA24" t="s">
        <v>35</v>
      </c>
      <c r="AB24">
        <v>12</v>
      </c>
      <c r="AC24" t="s">
        <v>66</v>
      </c>
      <c r="AD24" t="s">
        <v>29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435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41</v>
      </c>
      <c r="N25" t="s">
        <v>19</v>
      </c>
      <c r="O25">
        <v>2171</v>
      </c>
      <c r="P25" s="1">
        <v>33137</v>
      </c>
      <c r="Q25" t="s">
        <v>18</v>
      </c>
      <c r="R25" t="s">
        <v>26</v>
      </c>
      <c r="S25" t="s">
        <v>16</v>
      </c>
      <c r="T25" t="s">
        <v>15</v>
      </c>
      <c r="U25" t="s">
        <v>25</v>
      </c>
      <c r="V25" s="1">
        <v>40637</v>
      </c>
      <c r="X25" t="s">
        <v>13</v>
      </c>
      <c r="Y25" t="s">
        <v>12</v>
      </c>
      <c r="Z25" t="s">
        <v>11</v>
      </c>
      <c r="AA25" t="s">
        <v>78</v>
      </c>
      <c r="AB25">
        <v>22</v>
      </c>
      <c r="AC25" t="s">
        <v>71</v>
      </c>
      <c r="AD25" t="s">
        <v>70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434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41</v>
      </c>
      <c r="N26" t="s">
        <v>19</v>
      </c>
      <c r="O26">
        <v>2210</v>
      </c>
      <c r="P26" s="1">
        <v>24488</v>
      </c>
      <c r="Q26" t="s">
        <v>18</v>
      </c>
      <c r="R26" t="s">
        <v>26</v>
      </c>
      <c r="S26" t="s">
        <v>16</v>
      </c>
      <c r="T26" t="s">
        <v>15</v>
      </c>
      <c r="U26" t="s">
        <v>25</v>
      </c>
      <c r="V26" s="1">
        <v>40553</v>
      </c>
      <c r="W26" s="1">
        <v>41733</v>
      </c>
      <c r="X26" t="s">
        <v>73</v>
      </c>
      <c r="Y26" t="s">
        <v>36</v>
      </c>
      <c r="Z26" t="s">
        <v>11</v>
      </c>
      <c r="AA26" t="s">
        <v>72</v>
      </c>
      <c r="AB26">
        <v>16</v>
      </c>
      <c r="AC26" t="s">
        <v>34</v>
      </c>
      <c r="AD26" t="s">
        <v>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433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432</v>
      </c>
      <c r="N27" t="s">
        <v>256</v>
      </c>
      <c r="O27">
        <v>6033</v>
      </c>
      <c r="P27" s="1">
        <v>23588</v>
      </c>
      <c r="Q27" t="s">
        <v>40</v>
      </c>
      <c r="R27" t="s">
        <v>26</v>
      </c>
      <c r="S27" t="s">
        <v>16</v>
      </c>
      <c r="T27" t="s">
        <v>15</v>
      </c>
      <c r="U27" t="s">
        <v>49</v>
      </c>
      <c r="V27" s="1">
        <v>41687</v>
      </c>
      <c r="W27" s="1">
        <v>42419</v>
      </c>
      <c r="X27" t="s">
        <v>431</v>
      </c>
      <c r="Y27" t="s">
        <v>81</v>
      </c>
      <c r="Z27" t="s">
        <v>24</v>
      </c>
      <c r="AA27" t="s">
        <v>23</v>
      </c>
      <c r="AB27">
        <v>4</v>
      </c>
      <c r="AC27" t="s">
        <v>9</v>
      </c>
      <c r="AD27" t="s">
        <v>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430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346</v>
      </c>
      <c r="N28" t="s">
        <v>19</v>
      </c>
      <c r="O28">
        <v>2468</v>
      </c>
      <c r="P28" s="1">
        <v>31871</v>
      </c>
      <c r="Q28" t="s">
        <v>18</v>
      </c>
      <c r="R28" t="s">
        <v>58</v>
      </c>
      <c r="S28" t="s">
        <v>16</v>
      </c>
      <c r="T28" t="s">
        <v>15</v>
      </c>
      <c r="U28" t="s">
        <v>49</v>
      </c>
      <c r="V28" s="1">
        <v>42051</v>
      </c>
      <c r="X28" t="s">
        <v>13</v>
      </c>
      <c r="Y28" t="s">
        <v>12</v>
      </c>
      <c r="Z28" t="s">
        <v>133</v>
      </c>
      <c r="AA28" t="s">
        <v>132</v>
      </c>
      <c r="AB28">
        <v>3</v>
      </c>
      <c r="AC28" t="s">
        <v>46</v>
      </c>
      <c r="AD28" t="s">
        <v>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429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75</v>
      </c>
      <c r="N29" t="s">
        <v>19</v>
      </c>
      <c r="O29">
        <v>1901</v>
      </c>
      <c r="P29" s="1">
        <v>25637</v>
      </c>
      <c r="Q29" t="s">
        <v>40</v>
      </c>
      <c r="R29" t="s">
        <v>26</v>
      </c>
      <c r="S29" t="s">
        <v>16</v>
      </c>
      <c r="T29" t="s">
        <v>15</v>
      </c>
      <c r="U29" t="s">
        <v>14</v>
      </c>
      <c r="V29" s="1">
        <v>41547</v>
      </c>
      <c r="W29" s="1">
        <v>41858</v>
      </c>
      <c r="X29" t="s">
        <v>44</v>
      </c>
      <c r="Y29" t="s">
        <v>36</v>
      </c>
      <c r="Z29" t="s">
        <v>11</v>
      </c>
      <c r="AA29" t="s">
        <v>30</v>
      </c>
      <c r="AB29">
        <v>2</v>
      </c>
      <c r="AC29" t="s">
        <v>66</v>
      </c>
      <c r="AD29" t="s">
        <v>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428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20</v>
      </c>
      <c r="N30" t="s">
        <v>19</v>
      </c>
      <c r="O30">
        <v>1701</v>
      </c>
      <c r="P30" s="1">
        <v>33109</v>
      </c>
      <c r="Q30" t="s">
        <v>18</v>
      </c>
      <c r="R30" t="s">
        <v>58</v>
      </c>
      <c r="S30" t="s">
        <v>16</v>
      </c>
      <c r="T30" t="s">
        <v>15</v>
      </c>
      <c r="U30" t="s">
        <v>25</v>
      </c>
      <c r="V30" s="1">
        <v>41001</v>
      </c>
      <c r="W30" s="1">
        <v>41440</v>
      </c>
      <c r="X30" t="s">
        <v>37</v>
      </c>
      <c r="Y30" t="s">
        <v>36</v>
      </c>
      <c r="Z30" t="s">
        <v>11</v>
      </c>
      <c r="AA30" t="s">
        <v>10</v>
      </c>
      <c r="AB30">
        <v>14</v>
      </c>
      <c r="AC30" t="s">
        <v>34</v>
      </c>
      <c r="AD30" t="s">
        <v>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427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19</v>
      </c>
      <c r="O31">
        <v>1450</v>
      </c>
      <c r="P31" s="1">
        <v>32105</v>
      </c>
      <c r="Q31" t="s">
        <v>18</v>
      </c>
      <c r="R31" t="s">
        <v>58</v>
      </c>
      <c r="S31" t="s">
        <v>16</v>
      </c>
      <c r="T31" t="s">
        <v>15</v>
      </c>
      <c r="U31" t="s">
        <v>49</v>
      </c>
      <c r="V31" s="1">
        <v>39748</v>
      </c>
      <c r="X31" t="s">
        <v>13</v>
      </c>
      <c r="Y31" t="s">
        <v>12</v>
      </c>
      <c r="Z31" t="s">
        <v>133</v>
      </c>
      <c r="AA31" t="s">
        <v>132</v>
      </c>
      <c r="AB31">
        <v>1</v>
      </c>
      <c r="AC31" t="s">
        <v>46</v>
      </c>
      <c r="AD31" t="s">
        <v>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426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41</v>
      </c>
      <c r="N32" t="s">
        <v>19</v>
      </c>
      <c r="O32">
        <v>1013</v>
      </c>
      <c r="P32" s="1">
        <v>30525</v>
      </c>
      <c r="Q32" t="s">
        <v>40</v>
      </c>
      <c r="R32" t="s">
        <v>26</v>
      </c>
      <c r="S32" t="s">
        <v>16</v>
      </c>
      <c r="T32" t="s">
        <v>15</v>
      </c>
      <c r="U32" t="s">
        <v>25</v>
      </c>
      <c r="V32" s="1">
        <v>41911</v>
      </c>
      <c r="X32" t="s">
        <v>13</v>
      </c>
      <c r="Y32" t="s">
        <v>12</v>
      </c>
      <c r="Z32" t="s">
        <v>11</v>
      </c>
      <c r="AA32" t="s">
        <v>60</v>
      </c>
      <c r="AC32" t="s">
        <v>34</v>
      </c>
      <c r="AD32" t="s">
        <v>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425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20</v>
      </c>
      <c r="N33" t="s">
        <v>19</v>
      </c>
      <c r="O33">
        <v>2043</v>
      </c>
      <c r="P33" s="1">
        <v>25506</v>
      </c>
      <c r="Q33" t="s">
        <v>18</v>
      </c>
      <c r="R33" t="s">
        <v>110</v>
      </c>
      <c r="S33" t="s">
        <v>16</v>
      </c>
      <c r="T33" t="s">
        <v>15</v>
      </c>
      <c r="U33" t="s">
        <v>49</v>
      </c>
      <c r="V33" s="1">
        <v>41589</v>
      </c>
      <c r="X33" t="s">
        <v>13</v>
      </c>
      <c r="Y33" t="s">
        <v>12</v>
      </c>
      <c r="Z33" t="s">
        <v>11</v>
      </c>
      <c r="AA33" t="s">
        <v>39</v>
      </c>
      <c r="AB33">
        <v>20</v>
      </c>
      <c r="AC33" t="s">
        <v>46</v>
      </c>
      <c r="AD33" t="s">
        <v>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424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90</v>
      </c>
      <c r="N34" t="s">
        <v>423</v>
      </c>
      <c r="O34">
        <v>21851</v>
      </c>
      <c r="P34" s="1">
        <v>23529</v>
      </c>
      <c r="Q34" t="s">
        <v>18</v>
      </c>
      <c r="R34" t="s">
        <v>58</v>
      </c>
      <c r="S34" t="s">
        <v>57</v>
      </c>
      <c r="T34" t="s">
        <v>15</v>
      </c>
      <c r="U34" t="s">
        <v>49</v>
      </c>
      <c r="V34" s="1">
        <v>40770</v>
      </c>
      <c r="W34" s="1">
        <v>41853</v>
      </c>
      <c r="X34" t="s">
        <v>37</v>
      </c>
      <c r="Y34" t="s">
        <v>36</v>
      </c>
      <c r="Z34" t="s">
        <v>88</v>
      </c>
      <c r="AA34" t="s">
        <v>87</v>
      </c>
      <c r="AB34">
        <v>17</v>
      </c>
      <c r="AC34" t="s">
        <v>34</v>
      </c>
      <c r="AD34" t="s">
        <v>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422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41</v>
      </c>
      <c r="N35" t="s">
        <v>19</v>
      </c>
      <c r="O35">
        <v>2148</v>
      </c>
      <c r="P35" s="1">
        <v>29282</v>
      </c>
      <c r="Q35" t="s">
        <v>18</v>
      </c>
      <c r="R35" t="s">
        <v>26</v>
      </c>
      <c r="S35" t="s">
        <v>16</v>
      </c>
      <c r="T35" t="s">
        <v>15</v>
      </c>
      <c r="U35" t="s">
        <v>49</v>
      </c>
      <c r="V35" s="1">
        <v>40973</v>
      </c>
      <c r="X35" t="s">
        <v>13</v>
      </c>
      <c r="Y35" t="s">
        <v>12</v>
      </c>
      <c r="Z35" t="s">
        <v>11</v>
      </c>
      <c r="AA35" t="s">
        <v>55</v>
      </c>
      <c r="AB35">
        <v>11</v>
      </c>
      <c r="AC35" t="s">
        <v>22</v>
      </c>
      <c r="AD35" t="s">
        <v>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421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41</v>
      </c>
      <c r="N36" t="s">
        <v>19</v>
      </c>
      <c r="O36">
        <v>1890</v>
      </c>
      <c r="P36" s="1">
        <v>28356</v>
      </c>
      <c r="Q36" t="s">
        <v>40</v>
      </c>
      <c r="R36" t="s">
        <v>58</v>
      </c>
      <c r="S36" t="s">
        <v>16</v>
      </c>
      <c r="T36" t="s">
        <v>15</v>
      </c>
      <c r="U36" t="s">
        <v>25</v>
      </c>
      <c r="V36" s="1">
        <v>40637</v>
      </c>
      <c r="X36" t="s">
        <v>13</v>
      </c>
      <c r="Y36" t="s">
        <v>12</v>
      </c>
      <c r="Z36" t="s">
        <v>11</v>
      </c>
      <c r="AA36" t="s">
        <v>47</v>
      </c>
      <c r="AB36">
        <v>19</v>
      </c>
      <c r="AC36" t="s">
        <v>66</v>
      </c>
      <c r="AD36" t="s">
        <v>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420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419</v>
      </c>
      <c r="N37" t="s">
        <v>19</v>
      </c>
      <c r="O37">
        <v>2184</v>
      </c>
      <c r="P37" s="1">
        <v>24433</v>
      </c>
      <c r="Q37" t="s">
        <v>40</v>
      </c>
      <c r="R37" t="s">
        <v>26</v>
      </c>
      <c r="S37" t="s">
        <v>16</v>
      </c>
      <c r="T37" t="s">
        <v>15</v>
      </c>
      <c r="U37" t="s">
        <v>25</v>
      </c>
      <c r="V37" s="1">
        <v>40770</v>
      </c>
      <c r="X37" t="s">
        <v>13</v>
      </c>
      <c r="Y37" t="s">
        <v>12</v>
      </c>
      <c r="Z37" t="s">
        <v>102</v>
      </c>
      <c r="AA37" t="s">
        <v>166</v>
      </c>
      <c r="AB37">
        <v>5</v>
      </c>
      <c r="AC37" t="s">
        <v>34</v>
      </c>
      <c r="AD37" t="s">
        <v>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25">
      <c r="A38" t="s">
        <v>418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75</v>
      </c>
      <c r="N38" t="s">
        <v>19</v>
      </c>
      <c r="O38">
        <v>2169</v>
      </c>
      <c r="P38" s="1">
        <v>30537</v>
      </c>
      <c r="Q38" t="s">
        <v>40</v>
      </c>
      <c r="R38" t="s">
        <v>26</v>
      </c>
      <c r="S38" t="s">
        <v>16</v>
      </c>
      <c r="T38" t="s">
        <v>15</v>
      </c>
      <c r="U38" t="s">
        <v>25</v>
      </c>
      <c r="V38" s="1">
        <v>42397</v>
      </c>
      <c r="X38" t="s">
        <v>13</v>
      </c>
      <c r="Y38" t="s">
        <v>12</v>
      </c>
      <c r="Z38" t="s">
        <v>11</v>
      </c>
      <c r="AA38" t="s">
        <v>30</v>
      </c>
      <c r="AB38">
        <v>2</v>
      </c>
      <c r="AC38" t="s">
        <v>66</v>
      </c>
      <c r="AD38" t="s">
        <v>29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25">
      <c r="A39" t="s">
        <v>417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105</v>
      </c>
      <c r="N39" t="s">
        <v>19</v>
      </c>
      <c r="O39">
        <v>2132</v>
      </c>
      <c r="P39" s="1">
        <v>31872</v>
      </c>
      <c r="Q39" t="s">
        <v>18</v>
      </c>
      <c r="R39" t="s">
        <v>26</v>
      </c>
      <c r="S39" t="s">
        <v>16</v>
      </c>
      <c r="T39" t="s">
        <v>15</v>
      </c>
      <c r="U39" t="s">
        <v>25</v>
      </c>
      <c r="V39" s="1">
        <v>41589</v>
      </c>
      <c r="X39" t="s">
        <v>13</v>
      </c>
      <c r="Y39" t="s">
        <v>12</v>
      </c>
      <c r="Z39" t="s">
        <v>102</v>
      </c>
      <c r="AA39" t="s">
        <v>101</v>
      </c>
      <c r="AB39">
        <v>10</v>
      </c>
      <c r="AC39" t="s">
        <v>66</v>
      </c>
      <c r="AD39" t="s">
        <v>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25">
      <c r="A40" t="s">
        <v>416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20</v>
      </c>
      <c r="N40" t="s">
        <v>19</v>
      </c>
      <c r="O40">
        <v>1701</v>
      </c>
      <c r="P40" s="1">
        <v>30349</v>
      </c>
      <c r="Q40" t="s">
        <v>40</v>
      </c>
      <c r="R40" t="s">
        <v>26</v>
      </c>
      <c r="S40" t="s">
        <v>16</v>
      </c>
      <c r="T40" t="s">
        <v>15</v>
      </c>
      <c r="U40" t="s">
        <v>49</v>
      </c>
      <c r="V40" s="1">
        <v>41729</v>
      </c>
      <c r="X40" t="s">
        <v>13</v>
      </c>
      <c r="Y40" t="s">
        <v>12</v>
      </c>
      <c r="Z40" t="s">
        <v>11</v>
      </c>
      <c r="AA40" t="s">
        <v>80</v>
      </c>
      <c r="AB40">
        <v>18</v>
      </c>
      <c r="AC40" t="s">
        <v>9</v>
      </c>
      <c r="AD40" t="s">
        <v>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25">
      <c r="A41" t="s">
        <v>415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414</v>
      </c>
      <c r="N41" t="s">
        <v>19</v>
      </c>
      <c r="O41">
        <v>1886</v>
      </c>
      <c r="P41" s="1">
        <v>31569</v>
      </c>
      <c r="Q41" t="s">
        <v>18</v>
      </c>
      <c r="R41" t="s">
        <v>26</v>
      </c>
      <c r="S41" t="s">
        <v>16</v>
      </c>
      <c r="T41" t="s">
        <v>15</v>
      </c>
      <c r="U41" t="s">
        <v>49</v>
      </c>
      <c r="V41" s="1">
        <v>42551</v>
      </c>
      <c r="X41" t="s">
        <v>13</v>
      </c>
      <c r="Y41" t="s">
        <v>12</v>
      </c>
      <c r="Z41" t="s">
        <v>24</v>
      </c>
      <c r="AA41" t="s">
        <v>23</v>
      </c>
      <c r="AB41">
        <v>4</v>
      </c>
      <c r="AC41" t="s">
        <v>9</v>
      </c>
      <c r="AD41" t="s">
        <v>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25">
      <c r="A42" t="s">
        <v>413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90</v>
      </c>
      <c r="N42" t="s">
        <v>390</v>
      </c>
      <c r="O42">
        <v>5664</v>
      </c>
      <c r="P42" s="1">
        <v>23146</v>
      </c>
      <c r="Q42" t="s">
        <v>18</v>
      </c>
      <c r="R42" t="s">
        <v>26</v>
      </c>
      <c r="S42" t="s">
        <v>16</v>
      </c>
      <c r="T42" t="s">
        <v>15</v>
      </c>
      <c r="U42" t="s">
        <v>25</v>
      </c>
      <c r="V42" s="1">
        <v>41869</v>
      </c>
      <c r="X42" t="s">
        <v>13</v>
      </c>
      <c r="Y42" t="s">
        <v>12</v>
      </c>
      <c r="Z42" t="s">
        <v>88</v>
      </c>
      <c r="AA42" t="s">
        <v>87</v>
      </c>
      <c r="AB42">
        <v>17</v>
      </c>
      <c r="AC42" t="s">
        <v>66</v>
      </c>
      <c r="AD42" t="s">
        <v>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25">
      <c r="A43" t="s">
        <v>412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20</v>
      </c>
      <c r="N43" t="s">
        <v>19</v>
      </c>
      <c r="O43">
        <v>2763</v>
      </c>
      <c r="P43" s="1">
        <v>18630</v>
      </c>
      <c r="Q43" t="s">
        <v>18</v>
      </c>
      <c r="R43" t="s">
        <v>26</v>
      </c>
      <c r="S43" t="s">
        <v>16</v>
      </c>
      <c r="T43" t="s">
        <v>15</v>
      </c>
      <c r="U43" t="s">
        <v>25</v>
      </c>
      <c r="V43" s="1">
        <v>41911</v>
      </c>
      <c r="X43" t="s">
        <v>13</v>
      </c>
      <c r="Y43" t="s">
        <v>12</v>
      </c>
      <c r="Z43" t="s">
        <v>11</v>
      </c>
      <c r="AA43" t="s">
        <v>78</v>
      </c>
      <c r="AB43">
        <v>22</v>
      </c>
      <c r="AC43" t="s">
        <v>34</v>
      </c>
      <c r="AD43" t="s">
        <v>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25">
      <c r="A44" t="s">
        <v>411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410</v>
      </c>
      <c r="N44" t="s">
        <v>19</v>
      </c>
      <c r="O44">
        <v>2045</v>
      </c>
      <c r="P44" s="1">
        <v>26338</v>
      </c>
      <c r="Q44" t="s">
        <v>40</v>
      </c>
      <c r="R44" t="s">
        <v>58</v>
      </c>
      <c r="S44" t="s">
        <v>16</v>
      </c>
      <c r="T44" t="s">
        <v>15</v>
      </c>
      <c r="U44" t="s">
        <v>25</v>
      </c>
      <c r="V44" s="1">
        <v>42619</v>
      </c>
      <c r="X44" t="s">
        <v>13</v>
      </c>
      <c r="Y44" t="s">
        <v>12</v>
      </c>
      <c r="Z44" t="s">
        <v>24</v>
      </c>
      <c r="AA44" t="s">
        <v>166</v>
      </c>
      <c r="AB44">
        <v>5</v>
      </c>
      <c r="AC44" t="s">
        <v>66</v>
      </c>
      <c r="AD44" t="s">
        <v>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25">
      <c r="A45" t="s">
        <v>409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20</v>
      </c>
      <c r="N45" t="s">
        <v>19</v>
      </c>
      <c r="O45">
        <v>2170</v>
      </c>
      <c r="P45" s="1">
        <v>28898</v>
      </c>
      <c r="Q45" t="s">
        <v>18</v>
      </c>
      <c r="R45" t="s">
        <v>26</v>
      </c>
      <c r="S45" t="s">
        <v>16</v>
      </c>
      <c r="T45" t="s">
        <v>15</v>
      </c>
      <c r="U45" t="s">
        <v>25</v>
      </c>
      <c r="V45" s="1">
        <v>41771</v>
      </c>
      <c r="X45" t="s">
        <v>13</v>
      </c>
      <c r="Y45" t="s">
        <v>12</v>
      </c>
      <c r="Z45" t="s">
        <v>11</v>
      </c>
      <c r="AA45" t="s">
        <v>72</v>
      </c>
      <c r="AB45">
        <v>16</v>
      </c>
      <c r="AC45" t="s">
        <v>66</v>
      </c>
      <c r="AD45" t="s">
        <v>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25">
      <c r="A46" t="s">
        <v>408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20</v>
      </c>
      <c r="N46" t="s">
        <v>19</v>
      </c>
      <c r="O46">
        <v>1845</v>
      </c>
      <c r="P46" s="1">
        <v>30552</v>
      </c>
      <c r="Q46" t="s">
        <v>40</v>
      </c>
      <c r="R46" t="s">
        <v>26</v>
      </c>
      <c r="S46" t="s">
        <v>16</v>
      </c>
      <c r="T46" t="s">
        <v>15</v>
      </c>
      <c r="U46" t="s">
        <v>25</v>
      </c>
      <c r="V46" s="1">
        <v>41463</v>
      </c>
      <c r="X46" t="s">
        <v>13</v>
      </c>
      <c r="Y46" t="s">
        <v>12</v>
      </c>
      <c r="Z46" t="s">
        <v>11</v>
      </c>
      <c r="AA46" t="s">
        <v>60</v>
      </c>
      <c r="AC46" t="s">
        <v>9</v>
      </c>
      <c r="AD46" t="s">
        <v>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25">
      <c r="A47" t="s">
        <v>407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90</v>
      </c>
      <c r="N47" t="s">
        <v>241</v>
      </c>
      <c r="O47">
        <v>78207</v>
      </c>
      <c r="P47" s="1">
        <v>25730</v>
      </c>
      <c r="Q47" t="s">
        <v>40</v>
      </c>
      <c r="R47" t="s">
        <v>26</v>
      </c>
      <c r="S47" t="s">
        <v>57</v>
      </c>
      <c r="T47" t="s">
        <v>15</v>
      </c>
      <c r="U47" t="s">
        <v>49</v>
      </c>
      <c r="V47" s="1">
        <v>41043</v>
      </c>
      <c r="X47" t="s">
        <v>13</v>
      </c>
      <c r="Y47" t="s">
        <v>12</v>
      </c>
      <c r="Z47" t="s">
        <v>88</v>
      </c>
      <c r="AA47" t="s">
        <v>109</v>
      </c>
      <c r="AB47">
        <v>21</v>
      </c>
      <c r="AC47" t="s">
        <v>22</v>
      </c>
      <c r="AD47" t="s">
        <v>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25">
      <c r="A48" t="s">
        <v>406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20</v>
      </c>
      <c r="N48" t="s">
        <v>19</v>
      </c>
      <c r="O48">
        <v>1775</v>
      </c>
      <c r="P48" s="1">
        <v>30555</v>
      </c>
      <c r="Q48" t="s">
        <v>18</v>
      </c>
      <c r="R48" t="s">
        <v>26</v>
      </c>
      <c r="S48" t="s">
        <v>16</v>
      </c>
      <c r="T48" t="s">
        <v>15</v>
      </c>
      <c r="U48" t="s">
        <v>25</v>
      </c>
      <c r="V48" s="1">
        <v>40721</v>
      </c>
      <c r="W48" s="1">
        <v>42323</v>
      </c>
      <c r="X48" t="s">
        <v>48</v>
      </c>
      <c r="Y48" t="s">
        <v>36</v>
      </c>
      <c r="Z48" t="s">
        <v>11</v>
      </c>
      <c r="AA48" t="s">
        <v>55</v>
      </c>
      <c r="AB48">
        <v>11</v>
      </c>
      <c r="AC48" t="s">
        <v>66</v>
      </c>
      <c r="AD48" t="s">
        <v>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25">
      <c r="A49" t="s">
        <v>405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20</v>
      </c>
      <c r="N49" t="s">
        <v>19</v>
      </c>
      <c r="O49">
        <v>2044</v>
      </c>
      <c r="P49" s="1">
        <v>32294</v>
      </c>
      <c r="Q49" t="s">
        <v>18</v>
      </c>
      <c r="R49" t="s">
        <v>26</v>
      </c>
      <c r="S49" t="s">
        <v>104</v>
      </c>
      <c r="T49" t="s">
        <v>15</v>
      </c>
      <c r="U49" t="s">
        <v>49</v>
      </c>
      <c r="V49" s="1">
        <v>40819</v>
      </c>
      <c r="X49" t="s">
        <v>13</v>
      </c>
      <c r="Y49" t="s">
        <v>12</v>
      </c>
      <c r="Z49" t="s">
        <v>11</v>
      </c>
      <c r="AA49" t="s">
        <v>47</v>
      </c>
      <c r="AB49">
        <v>19</v>
      </c>
      <c r="AC49" t="s">
        <v>66</v>
      </c>
      <c r="AD49" t="s">
        <v>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25">
      <c r="A50" t="s">
        <v>404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144</v>
      </c>
      <c r="N50" t="s">
        <v>19</v>
      </c>
      <c r="O50">
        <v>2170</v>
      </c>
      <c r="P50" s="1">
        <v>31295</v>
      </c>
      <c r="Q50" t="s">
        <v>40</v>
      </c>
      <c r="R50" t="s">
        <v>26</v>
      </c>
      <c r="S50" t="s">
        <v>16</v>
      </c>
      <c r="T50" t="s">
        <v>15</v>
      </c>
      <c r="U50" t="s">
        <v>25</v>
      </c>
      <c r="V50" s="1">
        <v>41157</v>
      </c>
      <c r="X50" t="s">
        <v>13</v>
      </c>
      <c r="Y50" t="s">
        <v>12</v>
      </c>
      <c r="Z50" t="s">
        <v>24</v>
      </c>
      <c r="AA50" t="s">
        <v>143</v>
      </c>
      <c r="AB50">
        <v>6</v>
      </c>
      <c r="AC50" t="s">
        <v>66</v>
      </c>
      <c r="AD50" t="s">
        <v>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25">
      <c r="A51" t="s">
        <v>403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41</v>
      </c>
      <c r="N51" t="s">
        <v>19</v>
      </c>
      <c r="O51">
        <v>1752</v>
      </c>
      <c r="P51" s="1">
        <v>29829</v>
      </c>
      <c r="Q51" t="s">
        <v>18</v>
      </c>
      <c r="R51" t="s">
        <v>58</v>
      </c>
      <c r="S51" t="s">
        <v>16</v>
      </c>
      <c r="T51" t="s">
        <v>15</v>
      </c>
      <c r="U51" t="s">
        <v>25</v>
      </c>
      <c r="V51" s="1">
        <v>40679</v>
      </c>
      <c r="W51" s="1">
        <v>41281</v>
      </c>
      <c r="X51" t="s">
        <v>56</v>
      </c>
      <c r="Y51" t="s">
        <v>36</v>
      </c>
      <c r="Z51" t="s">
        <v>11</v>
      </c>
      <c r="AA51" t="s">
        <v>35</v>
      </c>
      <c r="AB51">
        <v>12</v>
      </c>
      <c r="AC51" t="s">
        <v>34</v>
      </c>
      <c r="AD51" t="s">
        <v>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25">
      <c r="A52" t="s">
        <v>402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41</v>
      </c>
      <c r="N52" t="s">
        <v>19</v>
      </c>
      <c r="O52">
        <v>2169</v>
      </c>
      <c r="P52" s="1">
        <v>28819</v>
      </c>
      <c r="Q52" t="s">
        <v>40</v>
      </c>
      <c r="R52" t="s">
        <v>58</v>
      </c>
      <c r="S52" t="s">
        <v>16</v>
      </c>
      <c r="T52" t="s">
        <v>15</v>
      </c>
      <c r="U52" t="s">
        <v>25</v>
      </c>
      <c r="V52" s="1">
        <v>40420</v>
      </c>
      <c r="W52" s="1">
        <v>40812</v>
      </c>
      <c r="X52" t="s">
        <v>73</v>
      </c>
      <c r="Y52" t="s">
        <v>36</v>
      </c>
      <c r="Z52" t="s">
        <v>11</v>
      </c>
      <c r="AA52" t="s">
        <v>10</v>
      </c>
      <c r="AB52">
        <v>14</v>
      </c>
      <c r="AC52" t="s">
        <v>66</v>
      </c>
      <c r="AD52" t="s">
        <v>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25">
      <c r="A53" t="s">
        <v>401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20</v>
      </c>
      <c r="N53" t="s">
        <v>19</v>
      </c>
      <c r="O53">
        <v>2134</v>
      </c>
      <c r="P53" s="1">
        <v>29459</v>
      </c>
      <c r="Q53" t="s">
        <v>40</v>
      </c>
      <c r="R53" t="s">
        <v>58</v>
      </c>
      <c r="S53" t="s">
        <v>16</v>
      </c>
      <c r="T53" t="s">
        <v>15</v>
      </c>
      <c r="U53" t="s">
        <v>25</v>
      </c>
      <c r="V53" s="1">
        <v>42557</v>
      </c>
      <c r="X53" t="s">
        <v>13</v>
      </c>
      <c r="Y53" t="s">
        <v>12</v>
      </c>
      <c r="Z53" t="s">
        <v>11</v>
      </c>
      <c r="AA53" t="s">
        <v>35</v>
      </c>
      <c r="AB53">
        <v>12</v>
      </c>
      <c r="AC53" t="s">
        <v>22</v>
      </c>
      <c r="AD53" t="s">
        <v>29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25">
      <c r="A54" t="s">
        <v>400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20</v>
      </c>
      <c r="N54" t="s">
        <v>19</v>
      </c>
      <c r="O54">
        <v>2452</v>
      </c>
      <c r="P54" s="1">
        <v>28376</v>
      </c>
      <c r="Q54" t="s">
        <v>40</v>
      </c>
      <c r="R54" t="s">
        <v>26</v>
      </c>
      <c r="S54" t="s">
        <v>16</v>
      </c>
      <c r="T54" t="s">
        <v>15</v>
      </c>
      <c r="U54" t="s">
        <v>25</v>
      </c>
      <c r="V54" s="1">
        <v>41463</v>
      </c>
      <c r="X54" t="s">
        <v>13</v>
      </c>
      <c r="Y54" t="s">
        <v>12</v>
      </c>
      <c r="Z54" t="s">
        <v>11</v>
      </c>
      <c r="AA54" t="s">
        <v>10</v>
      </c>
      <c r="AB54">
        <v>14</v>
      </c>
      <c r="AC54" t="s">
        <v>22</v>
      </c>
      <c r="AD54" t="s">
        <v>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25">
      <c r="A55" t="s">
        <v>399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20</v>
      </c>
      <c r="N55" t="s">
        <v>19</v>
      </c>
      <c r="O55">
        <v>1880</v>
      </c>
      <c r="P55" s="1">
        <v>29079</v>
      </c>
      <c r="Q55" t="s">
        <v>40</v>
      </c>
      <c r="R55" t="s">
        <v>26</v>
      </c>
      <c r="S55" t="s">
        <v>16</v>
      </c>
      <c r="T55" t="s">
        <v>15</v>
      </c>
      <c r="U55" t="s">
        <v>49</v>
      </c>
      <c r="V55" s="1">
        <v>40735</v>
      </c>
      <c r="W55" s="1">
        <v>42636</v>
      </c>
      <c r="X55" t="s">
        <v>205</v>
      </c>
      <c r="Y55" t="s">
        <v>81</v>
      </c>
      <c r="Z55" t="s">
        <v>11</v>
      </c>
      <c r="AA55" t="s">
        <v>39</v>
      </c>
      <c r="AB55">
        <v>20</v>
      </c>
      <c r="AC55" t="s">
        <v>9</v>
      </c>
      <c r="AD55" t="s">
        <v>70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25">
      <c r="A56" t="s">
        <v>398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75</v>
      </c>
      <c r="N56" t="s">
        <v>19</v>
      </c>
      <c r="O56">
        <v>1803</v>
      </c>
      <c r="P56" s="1">
        <v>27745</v>
      </c>
      <c r="Q56" t="s">
        <v>40</v>
      </c>
      <c r="R56" t="s">
        <v>52</v>
      </c>
      <c r="S56" t="s">
        <v>16</v>
      </c>
      <c r="T56" t="s">
        <v>15</v>
      </c>
      <c r="U56" t="s">
        <v>25</v>
      </c>
      <c r="V56" s="1">
        <v>40379</v>
      </c>
      <c r="X56" t="s">
        <v>13</v>
      </c>
      <c r="Y56" t="s">
        <v>12</v>
      </c>
      <c r="Z56" t="s">
        <v>11</v>
      </c>
      <c r="AA56" t="s">
        <v>30</v>
      </c>
      <c r="AB56">
        <v>2</v>
      </c>
      <c r="AC56" t="s">
        <v>71</v>
      </c>
      <c r="AD56" t="s">
        <v>70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25">
      <c r="A57" t="s">
        <v>397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396</v>
      </c>
      <c r="N57" t="s">
        <v>19</v>
      </c>
      <c r="O57">
        <v>2030</v>
      </c>
      <c r="P57" s="1">
        <v>30394</v>
      </c>
      <c r="Q57" t="s">
        <v>40</v>
      </c>
      <c r="R57" t="s">
        <v>26</v>
      </c>
      <c r="S57" t="s">
        <v>16</v>
      </c>
      <c r="T57" t="s">
        <v>15</v>
      </c>
      <c r="U57" t="s">
        <v>49</v>
      </c>
      <c r="V57" s="1">
        <v>39818</v>
      </c>
      <c r="X57" t="s">
        <v>13</v>
      </c>
      <c r="Y57" t="s">
        <v>12</v>
      </c>
      <c r="Z57" t="s">
        <v>11</v>
      </c>
      <c r="AA57" t="s">
        <v>30</v>
      </c>
      <c r="AB57">
        <v>2</v>
      </c>
      <c r="AC57" t="s">
        <v>66</v>
      </c>
      <c r="AD57" t="s">
        <v>29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25">
      <c r="A58" t="s">
        <v>395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20</v>
      </c>
      <c r="N58" t="s">
        <v>19</v>
      </c>
      <c r="O58">
        <v>2189</v>
      </c>
      <c r="P58" s="1">
        <v>28215</v>
      </c>
      <c r="Q58" t="s">
        <v>18</v>
      </c>
      <c r="R58" t="s">
        <v>58</v>
      </c>
      <c r="S58" t="s">
        <v>16</v>
      </c>
      <c r="T58" t="s">
        <v>50</v>
      </c>
      <c r="U58" t="s">
        <v>25</v>
      </c>
      <c r="V58" s="1">
        <v>42009</v>
      </c>
      <c r="X58" t="s">
        <v>13</v>
      </c>
      <c r="Y58" t="s">
        <v>12</v>
      </c>
      <c r="Z58" t="s">
        <v>11</v>
      </c>
      <c r="AA58" t="s">
        <v>80</v>
      </c>
      <c r="AB58">
        <v>18</v>
      </c>
      <c r="AC58" t="s">
        <v>66</v>
      </c>
      <c r="AD58" t="s">
        <v>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25">
      <c r="A59" t="s">
        <v>394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27</v>
      </c>
      <c r="N59" t="s">
        <v>19</v>
      </c>
      <c r="O59">
        <v>1810</v>
      </c>
      <c r="P59" s="1">
        <v>31650</v>
      </c>
      <c r="Q59" t="s">
        <v>40</v>
      </c>
      <c r="R59" t="s">
        <v>58</v>
      </c>
      <c r="S59" t="s">
        <v>16</v>
      </c>
      <c r="T59" t="s">
        <v>15</v>
      </c>
      <c r="U59" t="s">
        <v>25</v>
      </c>
      <c r="V59" s="1">
        <v>42093</v>
      </c>
      <c r="X59" t="s">
        <v>13</v>
      </c>
      <c r="Y59" t="s">
        <v>12</v>
      </c>
      <c r="Z59" t="s">
        <v>24</v>
      </c>
      <c r="AA59" t="s">
        <v>23</v>
      </c>
      <c r="AB59">
        <v>4</v>
      </c>
      <c r="AC59" t="s">
        <v>66</v>
      </c>
      <c r="AD59" t="s">
        <v>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25">
      <c r="A60" t="s">
        <v>393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20</v>
      </c>
      <c r="N60" t="s">
        <v>19</v>
      </c>
      <c r="O60">
        <v>1821</v>
      </c>
      <c r="P60" s="1">
        <v>31877</v>
      </c>
      <c r="Q60" t="s">
        <v>18</v>
      </c>
      <c r="R60" t="s">
        <v>26</v>
      </c>
      <c r="S60" t="s">
        <v>16</v>
      </c>
      <c r="T60" t="s">
        <v>15</v>
      </c>
      <c r="U60" t="s">
        <v>25</v>
      </c>
      <c r="V60" s="1">
        <v>42557</v>
      </c>
      <c r="X60" t="s">
        <v>13</v>
      </c>
      <c r="Y60" t="s">
        <v>12</v>
      </c>
      <c r="Z60" t="s">
        <v>11</v>
      </c>
      <c r="AA60" t="s">
        <v>78</v>
      </c>
      <c r="AB60">
        <v>22</v>
      </c>
      <c r="AC60" t="s">
        <v>9</v>
      </c>
      <c r="AD60" t="s">
        <v>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25">
      <c r="A61" t="s">
        <v>392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64</v>
      </c>
      <c r="N61" t="s">
        <v>256</v>
      </c>
      <c r="O61">
        <v>6278</v>
      </c>
      <c r="P61" s="1">
        <v>23994</v>
      </c>
      <c r="Q61" t="s">
        <v>40</v>
      </c>
      <c r="R61" t="s">
        <v>26</v>
      </c>
      <c r="S61" t="s">
        <v>16</v>
      </c>
      <c r="T61" t="s">
        <v>15</v>
      </c>
      <c r="U61" t="s">
        <v>25</v>
      </c>
      <c r="V61" s="1">
        <v>41953</v>
      </c>
      <c r="X61" t="s">
        <v>13</v>
      </c>
      <c r="Y61" t="s">
        <v>12</v>
      </c>
      <c r="Z61" t="s">
        <v>24</v>
      </c>
      <c r="AA61" t="s">
        <v>63</v>
      </c>
      <c r="AB61">
        <v>7</v>
      </c>
      <c r="AC61" t="s">
        <v>22</v>
      </c>
      <c r="AD61" t="s">
        <v>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25">
      <c r="A62" t="s">
        <v>391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150</v>
      </c>
      <c r="N62" t="s">
        <v>390</v>
      </c>
      <c r="O62">
        <v>5473</v>
      </c>
      <c r="P62" s="1">
        <v>32982</v>
      </c>
      <c r="Q62" t="s">
        <v>18</v>
      </c>
      <c r="R62" t="s">
        <v>26</v>
      </c>
      <c r="S62" t="s">
        <v>16</v>
      </c>
      <c r="T62" t="s">
        <v>15</v>
      </c>
      <c r="U62" t="s">
        <v>25</v>
      </c>
      <c r="V62" s="1">
        <v>41764</v>
      </c>
      <c r="X62" t="s">
        <v>13</v>
      </c>
      <c r="Y62" t="s">
        <v>12</v>
      </c>
      <c r="Z62" t="s">
        <v>88</v>
      </c>
      <c r="AA62" t="s">
        <v>149</v>
      </c>
      <c r="AB62">
        <v>15</v>
      </c>
      <c r="AC62" t="s">
        <v>66</v>
      </c>
      <c r="AD62" t="s">
        <v>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25">
      <c r="A63" t="s">
        <v>389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64</v>
      </c>
      <c r="N63" t="s">
        <v>256</v>
      </c>
      <c r="O63">
        <v>6033</v>
      </c>
      <c r="P63" s="1">
        <v>19011</v>
      </c>
      <c r="Q63" t="s">
        <v>18</v>
      </c>
      <c r="R63" t="s">
        <v>58</v>
      </c>
      <c r="S63" t="s">
        <v>16</v>
      </c>
      <c r="T63" t="s">
        <v>15</v>
      </c>
      <c r="U63" t="s">
        <v>25</v>
      </c>
      <c r="V63" s="1">
        <v>41953</v>
      </c>
      <c r="X63" t="s">
        <v>13</v>
      </c>
      <c r="Y63" t="s">
        <v>12</v>
      </c>
      <c r="Z63" t="s">
        <v>24</v>
      </c>
      <c r="AA63" t="s">
        <v>63</v>
      </c>
      <c r="AB63">
        <v>7</v>
      </c>
      <c r="AC63" t="s">
        <v>9</v>
      </c>
      <c r="AD63" t="s">
        <v>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25">
      <c r="A64" t="s">
        <v>388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20</v>
      </c>
      <c r="N64" t="s">
        <v>19</v>
      </c>
      <c r="O64">
        <v>2110</v>
      </c>
      <c r="P64" s="1">
        <v>28799</v>
      </c>
      <c r="Q64" t="s">
        <v>18</v>
      </c>
      <c r="R64" t="s">
        <v>58</v>
      </c>
      <c r="S64" t="s">
        <v>16</v>
      </c>
      <c r="T64" t="s">
        <v>15</v>
      </c>
      <c r="U64" t="s">
        <v>25</v>
      </c>
      <c r="V64" s="1">
        <v>41092</v>
      </c>
      <c r="X64" t="s">
        <v>13</v>
      </c>
      <c r="Y64" t="s">
        <v>12</v>
      </c>
      <c r="Z64" t="s">
        <v>11</v>
      </c>
      <c r="AA64" t="s">
        <v>72</v>
      </c>
      <c r="AB64">
        <v>16</v>
      </c>
      <c r="AC64" t="s">
        <v>66</v>
      </c>
      <c r="AD64" t="s">
        <v>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25">
      <c r="A65" t="s">
        <v>387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41</v>
      </c>
      <c r="N65" t="s">
        <v>19</v>
      </c>
      <c r="O65">
        <v>2458</v>
      </c>
      <c r="P65" s="1">
        <v>29112</v>
      </c>
      <c r="Q65" t="s">
        <v>40</v>
      </c>
      <c r="R65" t="s">
        <v>26</v>
      </c>
      <c r="S65" t="s">
        <v>57</v>
      </c>
      <c r="T65" t="s">
        <v>15</v>
      </c>
      <c r="U65" t="s">
        <v>95</v>
      </c>
      <c r="V65" s="1">
        <v>40854</v>
      </c>
      <c r="X65" t="s">
        <v>13</v>
      </c>
      <c r="Y65" t="s">
        <v>12</v>
      </c>
      <c r="Z65" t="s">
        <v>11</v>
      </c>
      <c r="AA65" t="s">
        <v>39</v>
      </c>
      <c r="AB65">
        <v>20</v>
      </c>
      <c r="AC65" t="s">
        <v>9</v>
      </c>
      <c r="AD65" t="s">
        <v>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25">
      <c r="A66" t="s">
        <v>386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20</v>
      </c>
      <c r="N66" t="s">
        <v>19</v>
      </c>
      <c r="O66">
        <v>2138</v>
      </c>
      <c r="P66" s="1">
        <v>32248</v>
      </c>
      <c r="Q66" t="s">
        <v>40</v>
      </c>
      <c r="R66" t="s">
        <v>58</v>
      </c>
      <c r="S66" t="s">
        <v>16</v>
      </c>
      <c r="T66" t="s">
        <v>15</v>
      </c>
      <c r="U66" t="s">
        <v>25</v>
      </c>
      <c r="V66" s="1">
        <v>43290</v>
      </c>
      <c r="X66" t="s">
        <v>13</v>
      </c>
      <c r="Y66" t="s">
        <v>12</v>
      </c>
      <c r="Z66" t="s">
        <v>11</v>
      </c>
      <c r="AA66" t="s">
        <v>35</v>
      </c>
      <c r="AB66">
        <v>12</v>
      </c>
      <c r="AC66" t="s">
        <v>66</v>
      </c>
      <c r="AD66" t="s">
        <v>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25">
      <c r="A67" t="s">
        <v>385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20</v>
      </c>
      <c r="N67" t="s">
        <v>19</v>
      </c>
      <c r="O67">
        <v>1810</v>
      </c>
      <c r="P67" s="1">
        <v>28429</v>
      </c>
      <c r="Q67" t="s">
        <v>40</v>
      </c>
      <c r="R67" t="s">
        <v>58</v>
      </c>
      <c r="S67" t="s">
        <v>16</v>
      </c>
      <c r="T67" t="s">
        <v>15</v>
      </c>
      <c r="U67" t="s">
        <v>25</v>
      </c>
      <c r="V67" s="1">
        <v>40679</v>
      </c>
      <c r="W67" s="1">
        <v>42529</v>
      </c>
      <c r="X67" t="s">
        <v>56</v>
      </c>
      <c r="Y67" t="s">
        <v>36</v>
      </c>
      <c r="Z67" t="s">
        <v>11</v>
      </c>
      <c r="AA67" t="s">
        <v>60</v>
      </c>
      <c r="AB67">
        <v>39</v>
      </c>
      <c r="AC67" t="s">
        <v>66</v>
      </c>
      <c r="AD67" t="s">
        <v>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25">
      <c r="A68" t="s">
        <v>384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105</v>
      </c>
      <c r="N68" t="s">
        <v>19</v>
      </c>
      <c r="O68">
        <v>2176</v>
      </c>
      <c r="P68" s="1">
        <v>29041</v>
      </c>
      <c r="Q68" t="s">
        <v>18</v>
      </c>
      <c r="R68" t="s">
        <v>26</v>
      </c>
      <c r="S68" t="s">
        <v>16</v>
      </c>
      <c r="T68" t="s">
        <v>15</v>
      </c>
      <c r="U68" t="s">
        <v>49</v>
      </c>
      <c r="V68" s="1">
        <v>40917</v>
      </c>
      <c r="X68" t="s">
        <v>13</v>
      </c>
      <c r="Y68" t="s">
        <v>12</v>
      </c>
      <c r="Z68" t="s">
        <v>102</v>
      </c>
      <c r="AA68" t="s">
        <v>101</v>
      </c>
      <c r="AB68">
        <v>10</v>
      </c>
      <c r="AC68" t="s">
        <v>71</v>
      </c>
      <c r="AD68" t="s">
        <v>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25">
      <c r="A69" t="s">
        <v>383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90</v>
      </c>
      <c r="N69" t="s">
        <v>382</v>
      </c>
      <c r="O69">
        <v>36006</v>
      </c>
      <c r="P69" s="1">
        <v>27700</v>
      </c>
      <c r="Q69" t="s">
        <v>40</v>
      </c>
      <c r="R69" t="s">
        <v>26</v>
      </c>
      <c r="S69" t="s">
        <v>16</v>
      </c>
      <c r="T69" t="s">
        <v>15</v>
      </c>
      <c r="U69" t="s">
        <v>95</v>
      </c>
      <c r="V69" s="1">
        <v>41911</v>
      </c>
      <c r="X69" t="s">
        <v>13</v>
      </c>
      <c r="Y69" t="s">
        <v>12</v>
      </c>
      <c r="Z69" t="s">
        <v>88</v>
      </c>
      <c r="AA69" t="s">
        <v>87</v>
      </c>
      <c r="AB69">
        <v>17</v>
      </c>
      <c r="AC69" t="s">
        <v>66</v>
      </c>
      <c r="AD69" t="s">
        <v>33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25">
      <c r="A70" t="s">
        <v>381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41</v>
      </c>
      <c r="N70" t="s">
        <v>19</v>
      </c>
      <c r="O70">
        <v>2343</v>
      </c>
      <c r="P70" s="1">
        <v>18684</v>
      </c>
      <c r="Q70" t="s">
        <v>18</v>
      </c>
      <c r="R70" t="s">
        <v>110</v>
      </c>
      <c r="S70" t="s">
        <v>16</v>
      </c>
      <c r="T70" t="s">
        <v>15</v>
      </c>
      <c r="U70" t="s">
        <v>49</v>
      </c>
      <c r="V70" s="1">
        <v>40637</v>
      </c>
      <c r="W70" s="1">
        <v>42312</v>
      </c>
      <c r="X70" t="s">
        <v>187</v>
      </c>
      <c r="Y70" t="s">
        <v>36</v>
      </c>
      <c r="Z70" t="s">
        <v>11</v>
      </c>
      <c r="AA70" t="s">
        <v>80</v>
      </c>
      <c r="AB70">
        <v>18</v>
      </c>
      <c r="AC70" t="s">
        <v>34</v>
      </c>
      <c r="AD70" t="s">
        <v>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25">
      <c r="A71" t="s">
        <v>380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20</v>
      </c>
      <c r="N71" t="s">
        <v>19</v>
      </c>
      <c r="O71">
        <v>2061</v>
      </c>
      <c r="P71" s="1">
        <v>24581</v>
      </c>
      <c r="Q71" t="s">
        <v>40</v>
      </c>
      <c r="R71" t="s">
        <v>58</v>
      </c>
      <c r="S71" t="s">
        <v>16</v>
      </c>
      <c r="T71" t="s">
        <v>15</v>
      </c>
      <c r="U71" t="s">
        <v>25</v>
      </c>
      <c r="V71" s="1">
        <v>41827</v>
      </c>
      <c r="X71" t="s">
        <v>13</v>
      </c>
      <c r="Y71" t="s">
        <v>12</v>
      </c>
      <c r="Z71" t="s">
        <v>11</v>
      </c>
      <c r="AA71" t="s">
        <v>55</v>
      </c>
      <c r="AB71">
        <v>11</v>
      </c>
      <c r="AC71" t="s">
        <v>66</v>
      </c>
      <c r="AD71" t="s">
        <v>33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25">
      <c r="A72" t="s">
        <v>379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123</v>
      </c>
      <c r="N72" t="s">
        <v>19</v>
      </c>
      <c r="O72">
        <v>2045</v>
      </c>
      <c r="P72" s="1">
        <v>30563</v>
      </c>
      <c r="Q72" t="s">
        <v>40</v>
      </c>
      <c r="R72" t="s">
        <v>26</v>
      </c>
      <c r="S72" t="s">
        <v>16</v>
      </c>
      <c r="T72" t="s">
        <v>15</v>
      </c>
      <c r="U72" t="s">
        <v>25</v>
      </c>
      <c r="V72" s="1">
        <v>42781</v>
      </c>
      <c r="X72" t="s">
        <v>13</v>
      </c>
      <c r="Y72" t="s">
        <v>12</v>
      </c>
      <c r="Z72" t="s">
        <v>24</v>
      </c>
      <c r="AA72" t="s">
        <v>67</v>
      </c>
      <c r="AB72">
        <v>13</v>
      </c>
      <c r="AC72" t="s">
        <v>66</v>
      </c>
      <c r="AD72" t="s">
        <v>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25">
      <c r="A73" t="s">
        <v>378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20</v>
      </c>
      <c r="N73" t="s">
        <v>19</v>
      </c>
      <c r="O73">
        <v>2180</v>
      </c>
      <c r="P73" s="1">
        <v>30270</v>
      </c>
      <c r="Q73" t="s">
        <v>40</v>
      </c>
      <c r="R73" t="s">
        <v>26</v>
      </c>
      <c r="S73" t="s">
        <v>16</v>
      </c>
      <c r="T73" t="s">
        <v>15</v>
      </c>
      <c r="U73" t="s">
        <v>25</v>
      </c>
      <c r="V73" s="1">
        <v>41771</v>
      </c>
      <c r="X73" t="s">
        <v>13</v>
      </c>
      <c r="Y73" t="s">
        <v>12</v>
      </c>
      <c r="Z73" t="s">
        <v>11</v>
      </c>
      <c r="AA73" t="s">
        <v>47</v>
      </c>
      <c r="AB73">
        <v>19</v>
      </c>
      <c r="AC73" t="s">
        <v>66</v>
      </c>
      <c r="AD73" t="s">
        <v>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25">
      <c r="A74" t="s">
        <v>377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90</v>
      </c>
      <c r="N74" t="s">
        <v>376</v>
      </c>
      <c r="O74">
        <v>98052</v>
      </c>
      <c r="P74" s="1">
        <v>31911</v>
      </c>
      <c r="Q74" t="s">
        <v>18</v>
      </c>
      <c r="R74" t="s">
        <v>26</v>
      </c>
      <c r="S74" t="s">
        <v>16</v>
      </c>
      <c r="T74" t="s">
        <v>50</v>
      </c>
      <c r="U74" t="s">
        <v>25</v>
      </c>
      <c r="V74" s="1">
        <v>40959</v>
      </c>
      <c r="X74" t="s">
        <v>13</v>
      </c>
      <c r="Y74" t="s">
        <v>12</v>
      </c>
      <c r="Z74" t="s">
        <v>88</v>
      </c>
      <c r="AA74" t="s">
        <v>87</v>
      </c>
      <c r="AB74">
        <v>17</v>
      </c>
      <c r="AC74" t="s">
        <v>54</v>
      </c>
      <c r="AD74" t="s">
        <v>33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25">
      <c r="A75" t="s">
        <v>375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20</v>
      </c>
      <c r="N75" t="s">
        <v>19</v>
      </c>
      <c r="O75">
        <v>2351</v>
      </c>
      <c r="P75" s="1">
        <v>28826</v>
      </c>
      <c r="Q75" t="s">
        <v>18</v>
      </c>
      <c r="R75" t="s">
        <v>58</v>
      </c>
      <c r="S75" t="s">
        <v>16</v>
      </c>
      <c r="T75" t="s">
        <v>15</v>
      </c>
      <c r="U75" t="s">
        <v>49</v>
      </c>
      <c r="V75" s="1">
        <v>41281</v>
      </c>
      <c r="X75" t="s">
        <v>13</v>
      </c>
      <c r="Y75" t="s">
        <v>12</v>
      </c>
      <c r="Z75" t="s">
        <v>11</v>
      </c>
      <c r="AA75" t="s">
        <v>35</v>
      </c>
      <c r="AB75">
        <v>12</v>
      </c>
      <c r="AC75" t="s">
        <v>66</v>
      </c>
      <c r="AD75" t="s">
        <v>70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25">
      <c r="A76" t="s">
        <v>374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20</v>
      </c>
      <c r="N76" t="s">
        <v>19</v>
      </c>
      <c r="O76">
        <v>2125</v>
      </c>
      <c r="P76" s="1">
        <v>31692</v>
      </c>
      <c r="Q76" t="s">
        <v>18</v>
      </c>
      <c r="R76" t="s">
        <v>26</v>
      </c>
      <c r="S76" t="s">
        <v>16</v>
      </c>
      <c r="T76" t="s">
        <v>50</v>
      </c>
      <c r="U76" t="s">
        <v>25</v>
      </c>
      <c r="V76" s="1">
        <v>41001</v>
      </c>
      <c r="X76" t="s">
        <v>13</v>
      </c>
      <c r="Y76" t="s">
        <v>12</v>
      </c>
      <c r="Z76" t="s">
        <v>11</v>
      </c>
      <c r="AA76" t="s">
        <v>10</v>
      </c>
      <c r="AB76">
        <v>14</v>
      </c>
      <c r="AC76" t="s">
        <v>71</v>
      </c>
      <c r="AD76" t="s">
        <v>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25">
      <c r="A77" t="s">
        <v>373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144</v>
      </c>
      <c r="N77" t="s">
        <v>19</v>
      </c>
      <c r="O77">
        <v>2119</v>
      </c>
      <c r="P77" s="1">
        <v>32342</v>
      </c>
      <c r="Q77" t="s">
        <v>18</v>
      </c>
      <c r="R77" t="s">
        <v>58</v>
      </c>
      <c r="S77" t="s">
        <v>16</v>
      </c>
      <c r="T77" t="s">
        <v>15</v>
      </c>
      <c r="U77" t="s">
        <v>25</v>
      </c>
      <c r="V77" s="1">
        <v>42009</v>
      </c>
      <c r="X77" t="s">
        <v>13</v>
      </c>
      <c r="Y77" t="s">
        <v>12</v>
      </c>
      <c r="Z77" t="s">
        <v>24</v>
      </c>
      <c r="AA77" t="s">
        <v>63</v>
      </c>
      <c r="AB77">
        <v>7</v>
      </c>
      <c r="AC77" t="s">
        <v>22</v>
      </c>
      <c r="AD77" t="s">
        <v>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25">
      <c r="A78" t="s">
        <v>372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371</v>
      </c>
      <c r="N78" t="s">
        <v>19</v>
      </c>
      <c r="O78">
        <v>1886</v>
      </c>
      <c r="P78" s="1">
        <v>25758</v>
      </c>
      <c r="Q78" t="s">
        <v>40</v>
      </c>
      <c r="R78" t="s">
        <v>26</v>
      </c>
      <c r="S78" t="s">
        <v>16</v>
      </c>
      <c r="T78" t="s">
        <v>15</v>
      </c>
      <c r="U78" t="s">
        <v>49</v>
      </c>
      <c r="V78" s="1">
        <v>41644</v>
      </c>
      <c r="X78" t="s">
        <v>13</v>
      </c>
      <c r="Y78" t="s">
        <v>12</v>
      </c>
      <c r="Z78" t="s">
        <v>24</v>
      </c>
      <c r="AA78" t="s">
        <v>166</v>
      </c>
      <c r="AB78">
        <v>5</v>
      </c>
      <c r="AC78" t="s">
        <v>66</v>
      </c>
      <c r="AD78" t="s">
        <v>29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25">
      <c r="A79" t="s">
        <v>370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90</v>
      </c>
      <c r="N79" t="s">
        <v>369</v>
      </c>
      <c r="O79">
        <v>90007</v>
      </c>
      <c r="P79" s="1">
        <v>32455</v>
      </c>
      <c r="Q79" t="s">
        <v>18</v>
      </c>
      <c r="R79" t="s">
        <v>26</v>
      </c>
      <c r="S79" t="s">
        <v>16</v>
      </c>
      <c r="T79" t="s">
        <v>15</v>
      </c>
      <c r="U79" t="s">
        <v>25</v>
      </c>
      <c r="V79" s="1">
        <v>40553</v>
      </c>
      <c r="X79" t="s">
        <v>13</v>
      </c>
      <c r="Y79" t="s">
        <v>12</v>
      </c>
      <c r="Z79" t="s">
        <v>88</v>
      </c>
      <c r="AA79" t="s">
        <v>109</v>
      </c>
      <c r="AB79">
        <v>21</v>
      </c>
      <c r="AC79" t="s">
        <v>66</v>
      </c>
      <c r="AD79" t="s">
        <v>29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25">
      <c r="A80" t="s">
        <v>368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75</v>
      </c>
      <c r="N80" t="s">
        <v>19</v>
      </c>
      <c r="O80">
        <v>1731</v>
      </c>
      <c r="P80" s="1">
        <v>26996</v>
      </c>
      <c r="Q80" t="s">
        <v>18</v>
      </c>
      <c r="R80" t="s">
        <v>26</v>
      </c>
      <c r="S80" t="s">
        <v>16</v>
      </c>
      <c r="T80" t="s">
        <v>15</v>
      </c>
      <c r="U80" t="s">
        <v>25</v>
      </c>
      <c r="V80" s="1">
        <v>41900</v>
      </c>
      <c r="X80" t="s">
        <v>13</v>
      </c>
      <c r="Y80" t="s">
        <v>12</v>
      </c>
      <c r="Z80" t="s">
        <v>11</v>
      </c>
      <c r="AA80" t="s">
        <v>30</v>
      </c>
      <c r="AB80">
        <v>2</v>
      </c>
      <c r="AC80" t="s">
        <v>34</v>
      </c>
      <c r="AD80" t="s">
        <v>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25">
      <c r="A81" t="s">
        <v>367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20</v>
      </c>
      <c r="N81" t="s">
        <v>19</v>
      </c>
      <c r="O81">
        <v>1749</v>
      </c>
      <c r="P81" s="1">
        <v>26930</v>
      </c>
      <c r="Q81" t="s">
        <v>18</v>
      </c>
      <c r="R81" t="s">
        <v>58</v>
      </c>
      <c r="S81" t="s">
        <v>16</v>
      </c>
      <c r="T81" t="s">
        <v>15</v>
      </c>
      <c r="U81" t="s">
        <v>25</v>
      </c>
      <c r="V81" s="1">
        <v>40294</v>
      </c>
      <c r="X81" t="s">
        <v>13</v>
      </c>
      <c r="Y81" t="s">
        <v>12</v>
      </c>
      <c r="Z81" t="s">
        <v>11</v>
      </c>
      <c r="AA81" t="s">
        <v>47</v>
      </c>
      <c r="AB81">
        <v>19</v>
      </c>
      <c r="AC81" t="s">
        <v>34</v>
      </c>
      <c r="AD81" t="s">
        <v>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25">
      <c r="A82" t="s">
        <v>366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20</v>
      </c>
      <c r="N82" t="s">
        <v>19</v>
      </c>
      <c r="O82">
        <v>2343</v>
      </c>
      <c r="P82" s="1">
        <v>33486</v>
      </c>
      <c r="Q82" t="s">
        <v>18</v>
      </c>
      <c r="R82" t="s">
        <v>58</v>
      </c>
      <c r="S82" t="s">
        <v>16</v>
      </c>
      <c r="T82" t="s">
        <v>15</v>
      </c>
      <c r="U82" t="s">
        <v>25</v>
      </c>
      <c r="V82" s="1">
        <v>40637</v>
      </c>
      <c r="W82" s="1">
        <v>42892</v>
      </c>
      <c r="X82" t="s">
        <v>115</v>
      </c>
      <c r="Y82" t="s">
        <v>36</v>
      </c>
      <c r="Z82" t="s">
        <v>11</v>
      </c>
      <c r="AA82" t="s">
        <v>39</v>
      </c>
      <c r="AB82">
        <v>20</v>
      </c>
      <c r="AC82" t="s">
        <v>34</v>
      </c>
      <c r="AD82" t="s">
        <v>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25">
      <c r="A83" t="s">
        <v>365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20</v>
      </c>
      <c r="N83" t="s">
        <v>19</v>
      </c>
      <c r="O83">
        <v>2026</v>
      </c>
      <c r="P83" s="1">
        <v>27180</v>
      </c>
      <c r="Q83" t="s">
        <v>40</v>
      </c>
      <c r="R83" t="s">
        <v>26</v>
      </c>
      <c r="S83" t="s">
        <v>16</v>
      </c>
      <c r="T83" t="s">
        <v>15</v>
      </c>
      <c r="U83" t="s">
        <v>25</v>
      </c>
      <c r="V83" s="1">
        <v>41953</v>
      </c>
      <c r="X83" t="s">
        <v>13</v>
      </c>
      <c r="Y83" t="s">
        <v>12</v>
      </c>
      <c r="Z83" t="s">
        <v>11</v>
      </c>
      <c r="AA83" t="s">
        <v>80</v>
      </c>
      <c r="AB83">
        <v>18</v>
      </c>
      <c r="AC83" t="s">
        <v>9</v>
      </c>
      <c r="AD83" t="s">
        <v>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25">
      <c r="A84" t="s">
        <v>364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20</v>
      </c>
      <c r="N84" t="s">
        <v>19</v>
      </c>
      <c r="O84">
        <v>2045</v>
      </c>
      <c r="P84" s="1">
        <v>28727</v>
      </c>
      <c r="Q84" t="s">
        <v>40</v>
      </c>
      <c r="R84" t="s">
        <v>58</v>
      </c>
      <c r="S84" t="s">
        <v>16</v>
      </c>
      <c r="T84" t="s">
        <v>15</v>
      </c>
      <c r="U84" t="s">
        <v>25</v>
      </c>
      <c r="V84" s="1">
        <v>41729</v>
      </c>
      <c r="X84" t="s">
        <v>13</v>
      </c>
      <c r="Y84" t="s">
        <v>12</v>
      </c>
      <c r="Z84" t="s">
        <v>11</v>
      </c>
      <c r="AA84" t="s">
        <v>80</v>
      </c>
      <c r="AB84">
        <v>18</v>
      </c>
      <c r="AC84" t="s">
        <v>22</v>
      </c>
      <c r="AD84" t="s">
        <v>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25">
      <c r="A85" t="s">
        <v>363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41</v>
      </c>
      <c r="N85" t="s">
        <v>19</v>
      </c>
      <c r="O85">
        <v>2133</v>
      </c>
      <c r="P85" s="1">
        <v>32745</v>
      </c>
      <c r="Q85" t="s">
        <v>18</v>
      </c>
      <c r="R85" t="s">
        <v>110</v>
      </c>
      <c r="S85" t="s">
        <v>16</v>
      </c>
      <c r="T85" t="s">
        <v>15</v>
      </c>
      <c r="U85" t="s">
        <v>25</v>
      </c>
      <c r="V85" s="1">
        <v>41827</v>
      </c>
      <c r="X85" t="s">
        <v>13</v>
      </c>
      <c r="Y85" t="s">
        <v>12</v>
      </c>
      <c r="Z85" t="s">
        <v>11</v>
      </c>
      <c r="AA85" t="s">
        <v>78</v>
      </c>
      <c r="AB85">
        <v>22</v>
      </c>
      <c r="AC85" t="s">
        <v>66</v>
      </c>
      <c r="AD85" t="s">
        <v>33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25">
      <c r="A86" t="s">
        <v>362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20</v>
      </c>
      <c r="N86" t="s">
        <v>19</v>
      </c>
      <c r="O86">
        <v>2129</v>
      </c>
      <c r="P86" s="1">
        <v>30561</v>
      </c>
      <c r="Q86" t="s">
        <v>40</v>
      </c>
      <c r="R86" t="s">
        <v>26</v>
      </c>
      <c r="S86" t="s">
        <v>16</v>
      </c>
      <c r="T86" t="s">
        <v>15</v>
      </c>
      <c r="U86" t="s">
        <v>25</v>
      </c>
      <c r="V86" s="1">
        <v>41001</v>
      </c>
      <c r="W86" s="1">
        <v>43370</v>
      </c>
      <c r="X86" t="s">
        <v>178</v>
      </c>
      <c r="Y86" t="s">
        <v>81</v>
      </c>
      <c r="Z86" t="s">
        <v>11</v>
      </c>
      <c r="AA86" t="s">
        <v>78</v>
      </c>
      <c r="AB86">
        <v>22</v>
      </c>
      <c r="AC86" t="s">
        <v>34</v>
      </c>
      <c r="AD86" t="s">
        <v>70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25">
      <c r="A87" t="s">
        <v>361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20</v>
      </c>
      <c r="N87" t="s">
        <v>19</v>
      </c>
      <c r="O87">
        <v>2458</v>
      </c>
      <c r="P87" s="1">
        <v>32634</v>
      </c>
      <c r="Q87" t="s">
        <v>18</v>
      </c>
      <c r="R87" t="s">
        <v>26</v>
      </c>
      <c r="S87" t="s">
        <v>16</v>
      </c>
      <c r="T87" t="s">
        <v>15</v>
      </c>
      <c r="U87" t="s">
        <v>25</v>
      </c>
      <c r="V87" s="1">
        <v>41687</v>
      </c>
      <c r="W87" s="1">
        <v>43156</v>
      </c>
      <c r="X87" t="s">
        <v>84</v>
      </c>
      <c r="Y87" t="s">
        <v>81</v>
      </c>
      <c r="Z87" t="s">
        <v>11</v>
      </c>
      <c r="AA87" t="s">
        <v>72</v>
      </c>
      <c r="AB87">
        <v>16</v>
      </c>
      <c r="AC87" t="s">
        <v>34</v>
      </c>
      <c r="AD87" t="s">
        <v>70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25">
      <c r="A88" t="s">
        <v>360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105</v>
      </c>
      <c r="N88" t="s">
        <v>19</v>
      </c>
      <c r="O88">
        <v>1749</v>
      </c>
      <c r="P88" s="1">
        <v>31912</v>
      </c>
      <c r="Q88" t="s">
        <v>18</v>
      </c>
      <c r="R88" t="s">
        <v>58</v>
      </c>
      <c r="S88" t="s">
        <v>16</v>
      </c>
      <c r="T88" t="s">
        <v>15</v>
      </c>
      <c r="U88" t="s">
        <v>49</v>
      </c>
      <c r="V88" s="1">
        <v>40665</v>
      </c>
      <c r="W88" s="1">
        <v>41430</v>
      </c>
      <c r="X88" t="s">
        <v>178</v>
      </c>
      <c r="Y88" t="s">
        <v>81</v>
      </c>
      <c r="Z88" t="s">
        <v>102</v>
      </c>
      <c r="AA88" t="s">
        <v>101</v>
      </c>
      <c r="AB88">
        <v>10</v>
      </c>
      <c r="AC88" t="s">
        <v>66</v>
      </c>
      <c r="AD88" t="s">
        <v>70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25">
      <c r="A89" t="s">
        <v>359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41</v>
      </c>
      <c r="N89" t="s">
        <v>19</v>
      </c>
      <c r="O89">
        <v>1824</v>
      </c>
      <c r="P89" s="1">
        <v>28755</v>
      </c>
      <c r="Q89" t="s">
        <v>18</v>
      </c>
      <c r="R89" t="s">
        <v>58</v>
      </c>
      <c r="S89" t="s">
        <v>16</v>
      </c>
      <c r="T89" t="s">
        <v>15</v>
      </c>
      <c r="U89" t="s">
        <v>49</v>
      </c>
      <c r="V89" s="1">
        <v>41827</v>
      </c>
      <c r="X89" t="s">
        <v>13</v>
      </c>
      <c r="Y89" t="s">
        <v>12</v>
      </c>
      <c r="Z89" t="s">
        <v>11</v>
      </c>
      <c r="AA89" t="s">
        <v>72</v>
      </c>
      <c r="AB89">
        <v>16</v>
      </c>
      <c r="AC89" t="s">
        <v>9</v>
      </c>
      <c r="AD89" t="s">
        <v>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25">
      <c r="A90" t="s">
        <v>358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41</v>
      </c>
      <c r="N90" t="s">
        <v>19</v>
      </c>
      <c r="O90">
        <v>2324</v>
      </c>
      <c r="P90" s="1">
        <v>32047</v>
      </c>
      <c r="Q90" t="s">
        <v>18</v>
      </c>
      <c r="R90" t="s">
        <v>26</v>
      </c>
      <c r="S90" t="s">
        <v>16</v>
      </c>
      <c r="T90" t="s">
        <v>15</v>
      </c>
      <c r="U90" t="s">
        <v>49</v>
      </c>
      <c r="V90" s="1">
        <v>41687</v>
      </c>
      <c r="X90" t="s">
        <v>13</v>
      </c>
      <c r="Y90" t="s">
        <v>12</v>
      </c>
      <c r="Z90" t="s">
        <v>11</v>
      </c>
      <c r="AA90" t="s">
        <v>60</v>
      </c>
      <c r="AC90" t="s">
        <v>9</v>
      </c>
      <c r="AD90" t="s">
        <v>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25">
      <c r="A91" t="s">
        <v>357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20</v>
      </c>
      <c r="N91" t="s">
        <v>19</v>
      </c>
      <c r="O91">
        <v>2176</v>
      </c>
      <c r="P91" s="1">
        <v>20193</v>
      </c>
      <c r="Q91" t="s">
        <v>18</v>
      </c>
      <c r="R91" t="s">
        <v>58</v>
      </c>
      <c r="S91" t="s">
        <v>16</v>
      </c>
      <c r="T91" t="s">
        <v>15</v>
      </c>
      <c r="U91" t="s">
        <v>25</v>
      </c>
      <c r="V91" s="1">
        <v>40854</v>
      </c>
      <c r="W91" s="1">
        <v>42507</v>
      </c>
      <c r="X91" t="s">
        <v>115</v>
      </c>
      <c r="Y91" t="s">
        <v>36</v>
      </c>
      <c r="Z91" t="s">
        <v>11</v>
      </c>
      <c r="AA91" t="s">
        <v>60</v>
      </c>
      <c r="AB91">
        <v>39</v>
      </c>
      <c r="AC91" t="s">
        <v>34</v>
      </c>
      <c r="AD91" t="s">
        <v>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25">
      <c r="A92" t="s">
        <v>356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20</v>
      </c>
      <c r="N92" t="s">
        <v>19</v>
      </c>
      <c r="O92">
        <v>2132</v>
      </c>
      <c r="P92" s="1">
        <v>32799</v>
      </c>
      <c r="Q92" t="s">
        <v>40</v>
      </c>
      <c r="R92" t="s">
        <v>58</v>
      </c>
      <c r="S92" t="s">
        <v>16</v>
      </c>
      <c r="T92" t="s">
        <v>15</v>
      </c>
      <c r="U92" t="s">
        <v>25</v>
      </c>
      <c r="V92" s="1">
        <v>42135</v>
      </c>
      <c r="X92" t="s">
        <v>13</v>
      </c>
      <c r="Y92" t="s">
        <v>12</v>
      </c>
      <c r="Z92" t="s">
        <v>11</v>
      </c>
      <c r="AA92" t="s">
        <v>55</v>
      </c>
      <c r="AB92">
        <v>11</v>
      </c>
      <c r="AC92" t="s">
        <v>66</v>
      </c>
      <c r="AD92" t="s">
        <v>33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25">
      <c r="A93" t="s">
        <v>355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98</v>
      </c>
      <c r="N93" t="s">
        <v>19</v>
      </c>
      <c r="O93">
        <v>2138</v>
      </c>
      <c r="P93" s="1">
        <v>31946</v>
      </c>
      <c r="Q93" t="s">
        <v>40</v>
      </c>
      <c r="R93" t="s">
        <v>26</v>
      </c>
      <c r="S93" t="s">
        <v>16</v>
      </c>
      <c r="T93" t="s">
        <v>15</v>
      </c>
      <c r="U93" t="s">
        <v>25</v>
      </c>
      <c r="V93" s="1">
        <v>42093</v>
      </c>
      <c r="X93" t="s">
        <v>13</v>
      </c>
      <c r="Y93" t="s">
        <v>12</v>
      </c>
      <c r="Z93" t="s">
        <v>24</v>
      </c>
      <c r="AA93" t="s">
        <v>63</v>
      </c>
      <c r="AB93">
        <v>7</v>
      </c>
      <c r="AC93" t="s">
        <v>9</v>
      </c>
      <c r="AD93" t="s">
        <v>33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25">
      <c r="A94" t="s">
        <v>354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20</v>
      </c>
      <c r="N94" t="s">
        <v>19</v>
      </c>
      <c r="O94">
        <v>2155</v>
      </c>
      <c r="P94" s="1">
        <v>29661</v>
      </c>
      <c r="Q94" t="s">
        <v>18</v>
      </c>
      <c r="R94" t="s">
        <v>58</v>
      </c>
      <c r="S94" t="s">
        <v>16</v>
      </c>
      <c r="T94" t="s">
        <v>15</v>
      </c>
      <c r="U94" t="s">
        <v>25</v>
      </c>
      <c r="V94" s="1">
        <v>40917</v>
      </c>
      <c r="X94" t="s">
        <v>13</v>
      </c>
      <c r="Y94" t="s">
        <v>12</v>
      </c>
      <c r="Z94" t="s">
        <v>11</v>
      </c>
      <c r="AA94" t="s">
        <v>35</v>
      </c>
      <c r="AB94">
        <v>12</v>
      </c>
      <c r="AC94" t="s">
        <v>34</v>
      </c>
      <c r="AD94" t="s">
        <v>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25">
      <c r="A95" t="s">
        <v>353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41</v>
      </c>
      <c r="N95" t="s">
        <v>19</v>
      </c>
      <c r="O95">
        <v>2143</v>
      </c>
      <c r="P95" s="1">
        <v>29860</v>
      </c>
      <c r="Q95" t="s">
        <v>40</v>
      </c>
      <c r="R95" t="s">
        <v>26</v>
      </c>
      <c r="S95" t="s">
        <v>16</v>
      </c>
      <c r="T95" t="s">
        <v>50</v>
      </c>
      <c r="U95" t="s">
        <v>25</v>
      </c>
      <c r="V95" s="1">
        <v>40679</v>
      </c>
      <c r="W95" s="1">
        <v>41449</v>
      </c>
      <c r="X95" t="s">
        <v>61</v>
      </c>
      <c r="Y95" t="s">
        <v>36</v>
      </c>
      <c r="Z95" t="s">
        <v>11</v>
      </c>
      <c r="AA95" t="s">
        <v>55</v>
      </c>
      <c r="AB95">
        <v>11</v>
      </c>
      <c r="AC95" t="s">
        <v>34</v>
      </c>
      <c r="AD95" t="s">
        <v>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25">
      <c r="A96" t="s">
        <v>352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41</v>
      </c>
      <c r="N96" t="s">
        <v>19</v>
      </c>
      <c r="O96">
        <v>2170</v>
      </c>
      <c r="P96" s="1">
        <v>30628</v>
      </c>
      <c r="Q96" t="s">
        <v>18</v>
      </c>
      <c r="R96" t="s">
        <v>58</v>
      </c>
      <c r="S96" t="s">
        <v>16</v>
      </c>
      <c r="T96" t="s">
        <v>15</v>
      </c>
      <c r="U96" t="s">
        <v>25</v>
      </c>
      <c r="V96" s="1">
        <v>40637</v>
      </c>
      <c r="W96" s="1">
        <v>41283</v>
      </c>
      <c r="X96" t="s">
        <v>73</v>
      </c>
      <c r="Y96" t="s">
        <v>36</v>
      </c>
      <c r="Z96" t="s">
        <v>11</v>
      </c>
      <c r="AA96" t="s">
        <v>47</v>
      </c>
      <c r="AB96">
        <v>19</v>
      </c>
      <c r="AC96" t="s">
        <v>34</v>
      </c>
      <c r="AD96" t="s">
        <v>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25">
      <c r="A97" t="s">
        <v>351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90</v>
      </c>
      <c r="N97" t="s">
        <v>19</v>
      </c>
      <c r="O97">
        <v>2330</v>
      </c>
      <c r="P97" s="1">
        <v>27582</v>
      </c>
      <c r="Q97" t="s">
        <v>40</v>
      </c>
      <c r="R97" t="s">
        <v>58</v>
      </c>
      <c r="S97" t="s">
        <v>16</v>
      </c>
      <c r="T97" t="s">
        <v>15</v>
      </c>
      <c r="U97" t="s">
        <v>25</v>
      </c>
      <c r="V97" s="1">
        <v>41911</v>
      </c>
      <c r="W97" s="1">
        <v>43331</v>
      </c>
      <c r="X97" t="s">
        <v>350</v>
      </c>
      <c r="Y97" t="s">
        <v>81</v>
      </c>
      <c r="Z97" t="s">
        <v>88</v>
      </c>
      <c r="AA97" t="s">
        <v>109</v>
      </c>
      <c r="AB97">
        <v>21</v>
      </c>
      <c r="AC97" t="s">
        <v>22</v>
      </c>
      <c r="AD97" t="s">
        <v>33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25">
      <c r="A98" t="s">
        <v>349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348</v>
      </c>
      <c r="N98" t="s">
        <v>19</v>
      </c>
      <c r="O98">
        <v>1460</v>
      </c>
      <c r="P98" s="1">
        <v>29407</v>
      </c>
      <c r="Q98" t="s">
        <v>40</v>
      </c>
      <c r="R98" t="s">
        <v>26</v>
      </c>
      <c r="S98" t="s">
        <v>16</v>
      </c>
      <c r="T98" t="s">
        <v>15</v>
      </c>
      <c r="U98" t="s">
        <v>49</v>
      </c>
      <c r="V98" s="1">
        <v>40648</v>
      </c>
      <c r="X98" t="s">
        <v>13</v>
      </c>
      <c r="Y98" t="s">
        <v>12</v>
      </c>
      <c r="Z98" t="s">
        <v>24</v>
      </c>
      <c r="AA98" t="s">
        <v>166</v>
      </c>
      <c r="AB98">
        <v>5</v>
      </c>
      <c r="AC98" t="s">
        <v>66</v>
      </c>
      <c r="AD98" t="s">
        <v>29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25">
      <c r="A99" t="s">
        <v>347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346</v>
      </c>
      <c r="N99" t="s">
        <v>19</v>
      </c>
      <c r="O99">
        <v>2050</v>
      </c>
      <c r="P99" s="1">
        <v>28961</v>
      </c>
      <c r="Q99" t="s">
        <v>18</v>
      </c>
      <c r="R99" t="s">
        <v>58</v>
      </c>
      <c r="S99" t="s">
        <v>16</v>
      </c>
      <c r="T99" t="s">
        <v>345</v>
      </c>
      <c r="U99" t="s">
        <v>25</v>
      </c>
      <c r="V99" s="1">
        <v>39818</v>
      </c>
      <c r="X99" t="s">
        <v>13</v>
      </c>
      <c r="Y99" t="s">
        <v>12</v>
      </c>
      <c r="Z99" t="s">
        <v>133</v>
      </c>
      <c r="AA99" t="s">
        <v>280</v>
      </c>
      <c r="AB99">
        <v>9</v>
      </c>
      <c r="AC99" t="s">
        <v>114</v>
      </c>
      <c r="AD99" t="s">
        <v>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25">
      <c r="A100" t="s">
        <v>344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90</v>
      </c>
      <c r="N100" t="s">
        <v>256</v>
      </c>
      <c r="O100">
        <v>6050</v>
      </c>
      <c r="P100" s="1">
        <v>23251</v>
      </c>
      <c r="Q100" t="s">
        <v>40</v>
      </c>
      <c r="R100" t="s">
        <v>26</v>
      </c>
      <c r="S100" t="s">
        <v>16</v>
      </c>
      <c r="T100" t="s">
        <v>15</v>
      </c>
      <c r="U100" t="s">
        <v>49</v>
      </c>
      <c r="V100" s="1">
        <v>40792</v>
      </c>
      <c r="X100" t="s">
        <v>13</v>
      </c>
      <c r="Y100" t="s">
        <v>12</v>
      </c>
      <c r="Z100" t="s">
        <v>88</v>
      </c>
      <c r="AA100" t="s">
        <v>109</v>
      </c>
      <c r="AB100">
        <v>21</v>
      </c>
      <c r="AC100" t="s">
        <v>71</v>
      </c>
      <c r="AD100" t="s">
        <v>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25">
      <c r="A101" t="s">
        <v>343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144</v>
      </c>
      <c r="N101" t="s">
        <v>256</v>
      </c>
      <c r="O101">
        <v>6040</v>
      </c>
      <c r="P101" s="1">
        <v>25025</v>
      </c>
      <c r="Q101" t="s">
        <v>18</v>
      </c>
      <c r="R101" t="s">
        <v>26</v>
      </c>
      <c r="S101" t="s">
        <v>16</v>
      </c>
      <c r="T101" t="s">
        <v>15</v>
      </c>
      <c r="U101" t="s">
        <v>25</v>
      </c>
      <c r="V101" s="1">
        <v>40299</v>
      </c>
      <c r="X101" t="s">
        <v>13</v>
      </c>
      <c r="Y101" t="s">
        <v>12</v>
      </c>
      <c r="Z101" t="s">
        <v>24</v>
      </c>
      <c r="AA101" t="s">
        <v>143</v>
      </c>
      <c r="AB101">
        <v>6</v>
      </c>
      <c r="AC101" t="s">
        <v>9</v>
      </c>
      <c r="AD101" t="s">
        <v>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25">
      <c r="A102" t="s">
        <v>342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20</v>
      </c>
      <c r="N102" t="s">
        <v>19</v>
      </c>
      <c r="O102">
        <v>1905</v>
      </c>
      <c r="P102" s="1">
        <v>31305</v>
      </c>
      <c r="Q102" t="s">
        <v>40</v>
      </c>
      <c r="R102" t="s">
        <v>26</v>
      </c>
      <c r="S102" t="s">
        <v>16</v>
      </c>
      <c r="T102" t="s">
        <v>50</v>
      </c>
      <c r="U102" t="s">
        <v>25</v>
      </c>
      <c r="V102" s="1">
        <v>42093</v>
      </c>
      <c r="X102" t="s">
        <v>13</v>
      </c>
      <c r="Y102" t="s">
        <v>12</v>
      </c>
      <c r="Z102" t="s">
        <v>11</v>
      </c>
      <c r="AA102" t="s">
        <v>10</v>
      </c>
      <c r="AB102">
        <v>14</v>
      </c>
      <c r="AC102" t="s">
        <v>22</v>
      </c>
      <c r="AD102" t="s">
        <v>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25">
      <c r="A103" t="s">
        <v>341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20</v>
      </c>
      <c r="N103" t="s">
        <v>19</v>
      </c>
      <c r="O103">
        <v>2121</v>
      </c>
      <c r="P103" s="1">
        <v>30652</v>
      </c>
      <c r="Q103" t="s">
        <v>18</v>
      </c>
      <c r="R103" t="s">
        <v>26</v>
      </c>
      <c r="S103" t="s">
        <v>16</v>
      </c>
      <c r="T103" t="s">
        <v>50</v>
      </c>
      <c r="U103" t="s">
        <v>49</v>
      </c>
      <c r="V103" s="1">
        <v>40679</v>
      </c>
      <c r="X103" t="s">
        <v>13</v>
      </c>
      <c r="Y103" t="s">
        <v>12</v>
      </c>
      <c r="Z103" t="s">
        <v>11</v>
      </c>
      <c r="AA103" t="s">
        <v>80</v>
      </c>
      <c r="AB103">
        <v>18</v>
      </c>
      <c r="AC103" t="s">
        <v>9</v>
      </c>
      <c r="AD103" t="s">
        <v>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25">
      <c r="A104" t="s">
        <v>340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20</v>
      </c>
      <c r="N104" t="s">
        <v>19</v>
      </c>
      <c r="O104">
        <v>2145</v>
      </c>
      <c r="P104" s="1">
        <v>33147</v>
      </c>
      <c r="Q104" t="s">
        <v>18</v>
      </c>
      <c r="R104" t="s">
        <v>58</v>
      </c>
      <c r="S104" t="s">
        <v>16</v>
      </c>
      <c r="T104" t="s">
        <v>15</v>
      </c>
      <c r="U104" t="s">
        <v>49</v>
      </c>
      <c r="V104" s="1">
        <v>42093</v>
      </c>
      <c r="X104" t="s">
        <v>13</v>
      </c>
      <c r="Y104" t="s">
        <v>12</v>
      </c>
      <c r="Z104" t="s">
        <v>11</v>
      </c>
      <c r="AA104" t="s">
        <v>78</v>
      </c>
      <c r="AB104">
        <v>22</v>
      </c>
      <c r="AC104" t="s">
        <v>9</v>
      </c>
      <c r="AD104" t="s">
        <v>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25">
      <c r="A105" t="s">
        <v>339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20</v>
      </c>
      <c r="N105" t="s">
        <v>19</v>
      </c>
      <c r="O105">
        <v>2330</v>
      </c>
      <c r="P105" s="1">
        <v>25703</v>
      </c>
      <c r="Q105" t="s">
        <v>18</v>
      </c>
      <c r="R105" t="s">
        <v>52</v>
      </c>
      <c r="S105" t="s">
        <v>16</v>
      </c>
      <c r="T105" t="s">
        <v>15</v>
      </c>
      <c r="U105" t="s">
        <v>49</v>
      </c>
      <c r="V105" s="1">
        <v>40854</v>
      </c>
      <c r="W105" s="1">
        <v>42689</v>
      </c>
      <c r="X105" t="s">
        <v>61</v>
      </c>
      <c r="Y105" t="s">
        <v>36</v>
      </c>
      <c r="Z105" t="s">
        <v>11</v>
      </c>
      <c r="AA105" t="s">
        <v>72</v>
      </c>
      <c r="AB105">
        <v>16</v>
      </c>
      <c r="AC105" t="s">
        <v>46</v>
      </c>
      <c r="AD105" t="s">
        <v>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25">
      <c r="A106" t="s">
        <v>338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90</v>
      </c>
      <c r="N106" t="s">
        <v>337</v>
      </c>
      <c r="O106">
        <v>43050</v>
      </c>
      <c r="P106" s="1">
        <v>26124</v>
      </c>
      <c r="Q106" t="s">
        <v>18</v>
      </c>
      <c r="R106" t="s">
        <v>17</v>
      </c>
      <c r="S106" t="s">
        <v>16</v>
      </c>
      <c r="T106" t="s">
        <v>15</v>
      </c>
      <c r="U106" t="s">
        <v>49</v>
      </c>
      <c r="V106" s="1">
        <v>41827</v>
      </c>
      <c r="W106" s="1">
        <v>42252</v>
      </c>
      <c r="X106" t="s">
        <v>178</v>
      </c>
      <c r="Y106" t="s">
        <v>81</v>
      </c>
      <c r="Z106" t="s">
        <v>88</v>
      </c>
      <c r="AA106" t="s">
        <v>87</v>
      </c>
      <c r="AB106">
        <v>17</v>
      </c>
      <c r="AC106" t="s">
        <v>71</v>
      </c>
      <c r="AD106" t="s">
        <v>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25">
      <c r="A107" t="s">
        <v>336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20</v>
      </c>
      <c r="N107" t="s">
        <v>19</v>
      </c>
      <c r="O107">
        <v>2062</v>
      </c>
      <c r="P107" s="1">
        <v>27250</v>
      </c>
      <c r="Q107" t="s">
        <v>40</v>
      </c>
      <c r="R107" t="s">
        <v>58</v>
      </c>
      <c r="S107" t="s">
        <v>16</v>
      </c>
      <c r="T107" t="s">
        <v>15</v>
      </c>
      <c r="U107" t="s">
        <v>49</v>
      </c>
      <c r="V107" s="1">
        <v>41001</v>
      </c>
      <c r="W107" s="1">
        <v>42180</v>
      </c>
      <c r="X107" t="s">
        <v>115</v>
      </c>
      <c r="Y107" t="s">
        <v>36</v>
      </c>
      <c r="Z107" t="s">
        <v>11</v>
      </c>
      <c r="AA107" t="s">
        <v>60</v>
      </c>
      <c r="AB107">
        <v>39</v>
      </c>
      <c r="AC107" t="s">
        <v>46</v>
      </c>
      <c r="AD107" t="s">
        <v>70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25">
      <c r="A108" t="s">
        <v>335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20</v>
      </c>
      <c r="N108" t="s">
        <v>19</v>
      </c>
      <c r="O108">
        <v>2451</v>
      </c>
      <c r="P108" s="1">
        <v>29349</v>
      </c>
      <c r="Q108" t="s">
        <v>18</v>
      </c>
      <c r="R108" t="s">
        <v>26</v>
      </c>
      <c r="S108" t="s">
        <v>16</v>
      </c>
      <c r="T108" t="s">
        <v>50</v>
      </c>
      <c r="U108" t="s">
        <v>95</v>
      </c>
      <c r="V108" s="1">
        <v>41911</v>
      </c>
      <c r="X108" t="s">
        <v>13</v>
      </c>
      <c r="Y108" t="s">
        <v>12</v>
      </c>
      <c r="Z108" t="s">
        <v>11</v>
      </c>
      <c r="AA108" t="s">
        <v>55</v>
      </c>
      <c r="AB108">
        <v>11</v>
      </c>
      <c r="AC108" t="s">
        <v>66</v>
      </c>
      <c r="AD108" t="s">
        <v>29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25">
      <c r="A109" t="s">
        <v>334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90</v>
      </c>
      <c r="N109" t="s">
        <v>333</v>
      </c>
      <c r="O109">
        <v>46204</v>
      </c>
      <c r="P109" s="1">
        <v>32773</v>
      </c>
      <c r="Q109" t="s">
        <v>18</v>
      </c>
      <c r="R109" t="s">
        <v>26</v>
      </c>
      <c r="S109" t="s">
        <v>16</v>
      </c>
      <c r="T109" t="s">
        <v>15</v>
      </c>
      <c r="U109" t="s">
        <v>25</v>
      </c>
      <c r="V109" s="1">
        <v>42051</v>
      </c>
      <c r="X109" t="s">
        <v>13</v>
      </c>
      <c r="Y109" t="s">
        <v>12</v>
      </c>
      <c r="Z109" t="s">
        <v>88</v>
      </c>
      <c r="AA109" t="s">
        <v>109</v>
      </c>
      <c r="AB109">
        <v>21</v>
      </c>
      <c r="AC109" t="s">
        <v>66</v>
      </c>
      <c r="AD109" t="s">
        <v>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25">
      <c r="A110" t="s">
        <v>332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85</v>
      </c>
      <c r="N110" t="s">
        <v>19</v>
      </c>
      <c r="O110">
        <v>2127</v>
      </c>
      <c r="P110" s="1">
        <v>26229</v>
      </c>
      <c r="Q110" t="s">
        <v>18</v>
      </c>
      <c r="R110" t="s">
        <v>26</v>
      </c>
      <c r="S110" t="s">
        <v>16</v>
      </c>
      <c r="T110" t="s">
        <v>15</v>
      </c>
      <c r="U110" t="s">
        <v>25</v>
      </c>
      <c r="V110" s="1">
        <v>42051</v>
      </c>
      <c r="W110" s="1">
        <v>42078</v>
      </c>
      <c r="X110" t="s">
        <v>84</v>
      </c>
      <c r="Y110" t="s">
        <v>81</v>
      </c>
      <c r="Z110" t="s">
        <v>24</v>
      </c>
      <c r="AA110" t="s">
        <v>23</v>
      </c>
      <c r="AB110">
        <v>4</v>
      </c>
      <c r="AC110" t="s">
        <v>66</v>
      </c>
      <c r="AD110" t="s">
        <v>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25">
      <c r="A111" t="s">
        <v>331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144</v>
      </c>
      <c r="N111" t="s">
        <v>19</v>
      </c>
      <c r="O111">
        <v>2135</v>
      </c>
      <c r="P111" s="1">
        <v>32836</v>
      </c>
      <c r="Q111" t="s">
        <v>40</v>
      </c>
      <c r="R111" t="s">
        <v>58</v>
      </c>
      <c r="S111" t="s">
        <v>16</v>
      </c>
      <c r="T111" t="s">
        <v>50</v>
      </c>
      <c r="U111" t="s">
        <v>25</v>
      </c>
      <c r="V111" s="1">
        <v>42093</v>
      </c>
      <c r="X111" t="s">
        <v>13</v>
      </c>
      <c r="Y111" t="s">
        <v>12</v>
      </c>
      <c r="Z111" t="s">
        <v>24</v>
      </c>
      <c r="AA111" t="s">
        <v>63</v>
      </c>
      <c r="AB111">
        <v>7</v>
      </c>
      <c r="AC111" t="s">
        <v>9</v>
      </c>
      <c r="AD111" t="s">
        <v>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25">
      <c r="A112" t="s">
        <v>330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20</v>
      </c>
      <c r="N112" t="s">
        <v>19</v>
      </c>
      <c r="O112">
        <v>2451</v>
      </c>
      <c r="P112" s="1">
        <v>33773</v>
      </c>
      <c r="Q112" t="s">
        <v>18</v>
      </c>
      <c r="R112" t="s">
        <v>26</v>
      </c>
      <c r="S112" t="s">
        <v>16</v>
      </c>
      <c r="T112" t="s">
        <v>50</v>
      </c>
      <c r="U112" t="s">
        <v>25</v>
      </c>
      <c r="V112" s="1">
        <v>41589</v>
      </c>
      <c r="X112" t="s">
        <v>13</v>
      </c>
      <c r="Y112" t="s">
        <v>12</v>
      </c>
      <c r="Z112" t="s">
        <v>11</v>
      </c>
      <c r="AA112" t="s">
        <v>47</v>
      </c>
      <c r="AB112">
        <v>19</v>
      </c>
      <c r="AC112" t="s">
        <v>66</v>
      </c>
      <c r="AD112" t="s">
        <v>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25">
      <c r="A113" t="s">
        <v>329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20</v>
      </c>
      <c r="N113" t="s">
        <v>19</v>
      </c>
      <c r="O113">
        <v>2108</v>
      </c>
      <c r="P113" s="1">
        <v>25475</v>
      </c>
      <c r="Q113" t="s">
        <v>40</v>
      </c>
      <c r="R113" t="s">
        <v>52</v>
      </c>
      <c r="S113" t="s">
        <v>16</v>
      </c>
      <c r="T113" t="s">
        <v>15</v>
      </c>
      <c r="U113" t="s">
        <v>49</v>
      </c>
      <c r="V113" s="1">
        <v>40735</v>
      </c>
      <c r="X113" t="s">
        <v>13</v>
      </c>
      <c r="Y113" t="s">
        <v>12</v>
      </c>
      <c r="Z113" t="s">
        <v>11</v>
      </c>
      <c r="AA113" t="s">
        <v>35</v>
      </c>
      <c r="AB113">
        <v>12</v>
      </c>
      <c r="AC113" t="s">
        <v>46</v>
      </c>
      <c r="AD113" t="s">
        <v>29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25">
      <c r="A114" t="s">
        <v>328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41</v>
      </c>
      <c r="N114" t="s">
        <v>19</v>
      </c>
      <c r="O114">
        <v>2128</v>
      </c>
      <c r="P114" s="1">
        <v>23662</v>
      </c>
      <c r="Q114" t="s">
        <v>40</v>
      </c>
      <c r="R114" t="s">
        <v>58</v>
      </c>
      <c r="S114" t="s">
        <v>16</v>
      </c>
      <c r="T114" t="s">
        <v>15</v>
      </c>
      <c r="U114" t="s">
        <v>49</v>
      </c>
      <c r="V114" s="1">
        <v>40294</v>
      </c>
      <c r="W114" s="1">
        <v>40693</v>
      </c>
      <c r="X114" t="s">
        <v>73</v>
      </c>
      <c r="Y114" t="s">
        <v>36</v>
      </c>
      <c r="Z114" t="s">
        <v>11</v>
      </c>
      <c r="AA114" t="s">
        <v>35</v>
      </c>
      <c r="AB114">
        <v>12</v>
      </c>
      <c r="AC114" t="s">
        <v>46</v>
      </c>
      <c r="AD114" t="s">
        <v>33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25">
      <c r="A115" t="s">
        <v>327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144</v>
      </c>
      <c r="N115" t="s">
        <v>19</v>
      </c>
      <c r="O115">
        <v>2472</v>
      </c>
      <c r="P115" s="1">
        <v>29692</v>
      </c>
      <c r="Q115" t="s">
        <v>18</v>
      </c>
      <c r="R115" t="s">
        <v>110</v>
      </c>
      <c r="S115" t="s">
        <v>16</v>
      </c>
      <c r="T115" t="s">
        <v>50</v>
      </c>
      <c r="U115" t="s">
        <v>25</v>
      </c>
      <c r="V115" s="1">
        <v>42009</v>
      </c>
      <c r="X115" t="s">
        <v>13</v>
      </c>
      <c r="Y115" t="s">
        <v>12</v>
      </c>
      <c r="Z115" t="s">
        <v>24</v>
      </c>
      <c r="AA115" t="s">
        <v>63</v>
      </c>
      <c r="AB115">
        <v>7</v>
      </c>
      <c r="AC115" t="s">
        <v>22</v>
      </c>
      <c r="AD115" t="s">
        <v>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25">
      <c r="A116" t="s">
        <v>326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41</v>
      </c>
      <c r="N116" t="s">
        <v>19</v>
      </c>
      <c r="O116">
        <v>1886</v>
      </c>
      <c r="P116" s="1">
        <v>31557</v>
      </c>
      <c r="Q116" t="s">
        <v>18</v>
      </c>
      <c r="R116" t="s">
        <v>58</v>
      </c>
      <c r="S116" t="s">
        <v>16</v>
      </c>
      <c r="T116" t="s">
        <v>15</v>
      </c>
      <c r="U116" t="s">
        <v>25</v>
      </c>
      <c r="V116" s="1">
        <v>41771</v>
      </c>
      <c r="X116" t="s">
        <v>13</v>
      </c>
      <c r="Y116" t="s">
        <v>12</v>
      </c>
      <c r="Z116" t="s">
        <v>11</v>
      </c>
      <c r="AA116" t="s">
        <v>10</v>
      </c>
      <c r="AB116">
        <v>14</v>
      </c>
      <c r="AC116" t="s">
        <v>9</v>
      </c>
      <c r="AD116" t="s">
        <v>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25">
      <c r="A117" t="s">
        <v>325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20</v>
      </c>
      <c r="N117" t="s">
        <v>19</v>
      </c>
      <c r="O117">
        <v>2169</v>
      </c>
      <c r="P117" s="1">
        <v>28996</v>
      </c>
      <c r="Q117" t="s">
        <v>40</v>
      </c>
      <c r="R117" t="s">
        <v>58</v>
      </c>
      <c r="S117" t="s">
        <v>16</v>
      </c>
      <c r="T117" t="s">
        <v>15</v>
      </c>
      <c r="U117" t="s">
        <v>25</v>
      </c>
      <c r="V117" s="1">
        <v>41092</v>
      </c>
      <c r="X117" t="s">
        <v>13</v>
      </c>
      <c r="Y117" t="s">
        <v>12</v>
      </c>
      <c r="Z117" t="s">
        <v>11</v>
      </c>
      <c r="AA117" t="s">
        <v>10</v>
      </c>
      <c r="AB117">
        <v>14</v>
      </c>
      <c r="AC117" t="s">
        <v>9</v>
      </c>
      <c r="AD117" t="s">
        <v>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25">
      <c r="A118" t="s">
        <v>324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41</v>
      </c>
      <c r="N118" t="s">
        <v>19</v>
      </c>
      <c r="O118">
        <v>1824</v>
      </c>
      <c r="P118" s="1">
        <v>30658</v>
      </c>
      <c r="Q118" t="s">
        <v>18</v>
      </c>
      <c r="R118" t="s">
        <v>110</v>
      </c>
      <c r="S118" t="s">
        <v>16</v>
      </c>
      <c r="T118" t="s">
        <v>15</v>
      </c>
      <c r="U118" t="s">
        <v>294</v>
      </c>
      <c r="V118" s="1">
        <v>41547</v>
      </c>
      <c r="X118" t="s">
        <v>13</v>
      </c>
      <c r="Y118" t="s">
        <v>12</v>
      </c>
      <c r="Z118" t="s">
        <v>11</v>
      </c>
      <c r="AA118" t="s">
        <v>39</v>
      </c>
      <c r="AB118">
        <v>20</v>
      </c>
      <c r="AC118" t="s">
        <v>34</v>
      </c>
      <c r="AD118" t="s">
        <v>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25">
      <c r="A119" t="s">
        <v>323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20</v>
      </c>
      <c r="N119" t="s">
        <v>19</v>
      </c>
      <c r="O119">
        <v>1864</v>
      </c>
      <c r="P119" s="1">
        <v>27311</v>
      </c>
      <c r="Q119" t="s">
        <v>18</v>
      </c>
      <c r="R119" t="s">
        <v>58</v>
      </c>
      <c r="S119" t="s">
        <v>16</v>
      </c>
      <c r="T119" t="s">
        <v>15</v>
      </c>
      <c r="U119" t="s">
        <v>14</v>
      </c>
      <c r="V119" s="1">
        <v>41505</v>
      </c>
      <c r="X119" t="s">
        <v>13</v>
      </c>
      <c r="Y119" t="s">
        <v>12</v>
      </c>
      <c r="Z119" t="s">
        <v>11</v>
      </c>
      <c r="AA119" t="s">
        <v>39</v>
      </c>
      <c r="AB119">
        <v>20</v>
      </c>
      <c r="AC119" t="s">
        <v>9</v>
      </c>
      <c r="AD119" t="s">
        <v>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25">
      <c r="A120" t="s">
        <v>322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75</v>
      </c>
      <c r="N120" t="s">
        <v>19</v>
      </c>
      <c r="O120">
        <v>1752</v>
      </c>
      <c r="P120" s="1">
        <v>29778</v>
      </c>
      <c r="Q120" t="s">
        <v>40</v>
      </c>
      <c r="R120" t="s">
        <v>52</v>
      </c>
      <c r="S120" t="s">
        <v>16</v>
      </c>
      <c r="T120" t="s">
        <v>15</v>
      </c>
      <c r="U120" t="s">
        <v>25</v>
      </c>
      <c r="V120" s="1">
        <v>42157</v>
      </c>
      <c r="X120" t="s">
        <v>13</v>
      </c>
      <c r="Y120" t="s">
        <v>12</v>
      </c>
      <c r="Z120" t="s">
        <v>11</v>
      </c>
      <c r="AA120" t="s">
        <v>30</v>
      </c>
      <c r="AB120">
        <v>2</v>
      </c>
      <c r="AC120" t="s">
        <v>22</v>
      </c>
      <c r="AD120" t="s">
        <v>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25">
      <c r="A121" t="s">
        <v>321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20</v>
      </c>
      <c r="N121" t="s">
        <v>19</v>
      </c>
      <c r="O121">
        <v>2176</v>
      </c>
      <c r="P121" s="1">
        <v>30457</v>
      </c>
      <c r="Q121" t="s">
        <v>18</v>
      </c>
      <c r="R121" t="s">
        <v>52</v>
      </c>
      <c r="S121" t="s">
        <v>16</v>
      </c>
      <c r="T121" t="s">
        <v>15</v>
      </c>
      <c r="U121" t="s">
        <v>25</v>
      </c>
      <c r="V121" s="1">
        <v>40595</v>
      </c>
      <c r="W121" s="1">
        <v>41650</v>
      </c>
      <c r="X121" t="s">
        <v>187</v>
      </c>
      <c r="Y121" t="s">
        <v>36</v>
      </c>
      <c r="Z121" t="s">
        <v>11</v>
      </c>
      <c r="AA121" t="s">
        <v>80</v>
      </c>
      <c r="AB121">
        <v>18</v>
      </c>
      <c r="AC121" t="s">
        <v>71</v>
      </c>
      <c r="AD121" t="s">
        <v>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25">
      <c r="A122" t="s">
        <v>320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123</v>
      </c>
      <c r="N122" t="s">
        <v>19</v>
      </c>
      <c r="O122">
        <v>2134</v>
      </c>
      <c r="P122" s="1">
        <v>32689</v>
      </c>
      <c r="Q122" t="s">
        <v>40</v>
      </c>
      <c r="R122" t="s">
        <v>58</v>
      </c>
      <c r="S122" t="s">
        <v>16</v>
      </c>
      <c r="T122" t="s">
        <v>15</v>
      </c>
      <c r="U122" t="s">
        <v>49</v>
      </c>
      <c r="V122" s="1">
        <v>42845</v>
      </c>
      <c r="X122" t="s">
        <v>13</v>
      </c>
      <c r="Y122" t="s">
        <v>12</v>
      </c>
      <c r="Z122" t="s">
        <v>24</v>
      </c>
      <c r="AA122" t="s">
        <v>67</v>
      </c>
      <c r="AB122">
        <v>13</v>
      </c>
      <c r="AC122" t="s">
        <v>66</v>
      </c>
      <c r="AD122" t="s">
        <v>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25">
      <c r="A123" t="s">
        <v>319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90</v>
      </c>
      <c r="N123" t="s">
        <v>318</v>
      </c>
      <c r="O123">
        <v>37129</v>
      </c>
      <c r="P123" s="1">
        <v>25243</v>
      </c>
      <c r="Q123" t="s">
        <v>40</v>
      </c>
      <c r="R123" t="s">
        <v>26</v>
      </c>
      <c r="S123" t="s">
        <v>16</v>
      </c>
      <c r="T123" t="s">
        <v>15</v>
      </c>
      <c r="U123" t="s">
        <v>95</v>
      </c>
      <c r="V123" s="1">
        <v>40975</v>
      </c>
      <c r="W123" s="1">
        <v>41943</v>
      </c>
      <c r="X123" t="s">
        <v>48</v>
      </c>
      <c r="Y123" t="s">
        <v>36</v>
      </c>
      <c r="Z123" t="s">
        <v>88</v>
      </c>
      <c r="AA123" t="s">
        <v>87</v>
      </c>
      <c r="AB123">
        <v>17</v>
      </c>
      <c r="AC123" t="s">
        <v>9</v>
      </c>
      <c r="AD123" t="s">
        <v>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25">
      <c r="A124" t="s">
        <v>317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20</v>
      </c>
      <c r="N124" t="s">
        <v>19</v>
      </c>
      <c r="O124">
        <v>2127</v>
      </c>
      <c r="P124" s="1">
        <v>28207</v>
      </c>
      <c r="Q124" t="s">
        <v>18</v>
      </c>
      <c r="R124" t="s">
        <v>58</v>
      </c>
      <c r="S124" t="s">
        <v>16</v>
      </c>
      <c r="T124" t="s">
        <v>15</v>
      </c>
      <c r="U124" t="s">
        <v>25</v>
      </c>
      <c r="V124" s="1">
        <v>40875</v>
      </c>
      <c r="X124" t="s">
        <v>13</v>
      </c>
      <c r="Y124" t="s">
        <v>12</v>
      </c>
      <c r="Z124" t="s">
        <v>11</v>
      </c>
      <c r="AA124" t="s">
        <v>78</v>
      </c>
      <c r="AB124">
        <v>22</v>
      </c>
      <c r="AC124" t="s">
        <v>34</v>
      </c>
      <c r="AD124" t="s">
        <v>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25">
      <c r="A125" t="s">
        <v>316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41</v>
      </c>
      <c r="N125" t="s">
        <v>19</v>
      </c>
      <c r="O125">
        <v>2155</v>
      </c>
      <c r="P125" s="1">
        <v>32365</v>
      </c>
      <c r="Q125" t="s">
        <v>40</v>
      </c>
      <c r="R125" t="s">
        <v>26</v>
      </c>
      <c r="S125" t="s">
        <v>16</v>
      </c>
      <c r="T125" t="s">
        <v>50</v>
      </c>
      <c r="U125" t="s">
        <v>25</v>
      </c>
      <c r="V125" s="1">
        <v>41589</v>
      </c>
      <c r="X125" t="s">
        <v>13</v>
      </c>
      <c r="Y125" t="s">
        <v>12</v>
      </c>
      <c r="Z125" t="s">
        <v>11</v>
      </c>
      <c r="AA125" t="s">
        <v>80</v>
      </c>
      <c r="AB125">
        <v>18</v>
      </c>
      <c r="AC125" t="s">
        <v>9</v>
      </c>
      <c r="AD125" t="s">
        <v>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25">
      <c r="A126" t="s">
        <v>315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20</v>
      </c>
      <c r="N126" t="s">
        <v>19</v>
      </c>
      <c r="O126">
        <v>2324</v>
      </c>
      <c r="P126" s="1">
        <v>19224</v>
      </c>
      <c r="Q126" t="s">
        <v>18</v>
      </c>
      <c r="R126" t="s">
        <v>26</v>
      </c>
      <c r="S126" t="s">
        <v>16</v>
      </c>
      <c r="T126" t="s">
        <v>15</v>
      </c>
      <c r="U126" t="s">
        <v>25</v>
      </c>
      <c r="V126" s="1">
        <v>40917</v>
      </c>
      <c r="W126" s="1">
        <v>42353</v>
      </c>
      <c r="X126" t="s">
        <v>44</v>
      </c>
      <c r="Y126" t="s">
        <v>36</v>
      </c>
      <c r="Z126" t="s">
        <v>11</v>
      </c>
      <c r="AA126" t="s">
        <v>60</v>
      </c>
      <c r="AB126">
        <v>39</v>
      </c>
      <c r="AC126" t="s">
        <v>71</v>
      </c>
      <c r="AD126" t="s">
        <v>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25">
      <c r="A127" t="s">
        <v>314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20</v>
      </c>
      <c r="N127" t="s">
        <v>19</v>
      </c>
      <c r="O127">
        <v>1886</v>
      </c>
      <c r="P127" s="1">
        <v>27151</v>
      </c>
      <c r="Q127" t="s">
        <v>18</v>
      </c>
      <c r="R127" t="s">
        <v>58</v>
      </c>
      <c r="S127" t="s">
        <v>16</v>
      </c>
      <c r="T127" t="s">
        <v>15</v>
      </c>
      <c r="U127" t="s">
        <v>25</v>
      </c>
      <c r="V127" s="1">
        <v>41771</v>
      </c>
      <c r="X127" t="s">
        <v>13</v>
      </c>
      <c r="Y127" t="s">
        <v>12</v>
      </c>
      <c r="Z127" t="s">
        <v>11</v>
      </c>
      <c r="AA127" t="s">
        <v>55</v>
      </c>
      <c r="AB127">
        <v>11</v>
      </c>
      <c r="AC127" t="s">
        <v>71</v>
      </c>
      <c r="AD127" t="s">
        <v>29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25">
      <c r="A128" t="s">
        <v>313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20</v>
      </c>
      <c r="N128" t="s">
        <v>19</v>
      </c>
      <c r="O128">
        <v>2149</v>
      </c>
      <c r="P128" s="1">
        <v>30685</v>
      </c>
      <c r="Q128" t="s">
        <v>40</v>
      </c>
      <c r="R128" t="s">
        <v>26</v>
      </c>
      <c r="S128" t="s">
        <v>16</v>
      </c>
      <c r="T128" t="s">
        <v>15</v>
      </c>
      <c r="U128" t="s">
        <v>25</v>
      </c>
      <c r="V128" s="1">
        <v>41134</v>
      </c>
      <c r="X128" t="s">
        <v>13</v>
      </c>
      <c r="Y128" t="s">
        <v>12</v>
      </c>
      <c r="Z128" t="s">
        <v>11</v>
      </c>
      <c r="AA128" t="s">
        <v>47</v>
      </c>
      <c r="AB128">
        <v>19</v>
      </c>
      <c r="AC128" t="s">
        <v>34</v>
      </c>
      <c r="AD128" t="s">
        <v>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25">
      <c r="A129" t="s">
        <v>312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41</v>
      </c>
      <c r="N129" t="s">
        <v>19</v>
      </c>
      <c r="O129">
        <v>2021</v>
      </c>
      <c r="P129" s="1">
        <v>26538</v>
      </c>
      <c r="Q129" t="s">
        <v>18</v>
      </c>
      <c r="R129" t="s">
        <v>26</v>
      </c>
      <c r="S129" t="s">
        <v>16</v>
      </c>
      <c r="T129" t="s">
        <v>15</v>
      </c>
      <c r="U129" t="s">
        <v>25</v>
      </c>
      <c r="V129" s="1">
        <v>40553</v>
      </c>
      <c r="W129" s="1">
        <v>41443</v>
      </c>
      <c r="X129" t="s">
        <v>61</v>
      </c>
      <c r="Y129" t="s">
        <v>36</v>
      </c>
      <c r="Z129" t="s">
        <v>11</v>
      </c>
      <c r="AA129" t="s">
        <v>80</v>
      </c>
      <c r="AB129">
        <v>18</v>
      </c>
      <c r="AC129" t="s">
        <v>71</v>
      </c>
      <c r="AD129" t="s">
        <v>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25">
      <c r="A130" t="s">
        <v>311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90</v>
      </c>
      <c r="N130" t="s">
        <v>310</v>
      </c>
      <c r="O130">
        <v>3062</v>
      </c>
      <c r="P130" s="1">
        <v>32400</v>
      </c>
      <c r="Q130" t="s">
        <v>40</v>
      </c>
      <c r="R130" t="s">
        <v>58</v>
      </c>
      <c r="S130" t="s">
        <v>16</v>
      </c>
      <c r="T130" t="s">
        <v>15</v>
      </c>
      <c r="U130" t="s">
        <v>294</v>
      </c>
      <c r="V130" s="1">
        <v>41869</v>
      </c>
      <c r="X130" t="s">
        <v>13</v>
      </c>
      <c r="Y130" t="s">
        <v>12</v>
      </c>
      <c r="Z130" t="s">
        <v>88</v>
      </c>
      <c r="AA130" t="s">
        <v>87</v>
      </c>
      <c r="AB130">
        <v>17</v>
      </c>
      <c r="AC130" t="s">
        <v>66</v>
      </c>
      <c r="AD130" t="s">
        <v>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25">
      <c r="A131" t="s">
        <v>309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41</v>
      </c>
      <c r="N131" t="s">
        <v>19</v>
      </c>
      <c r="O131">
        <v>2445</v>
      </c>
      <c r="P131" s="1">
        <v>30728</v>
      </c>
      <c r="Q131" t="s">
        <v>18</v>
      </c>
      <c r="R131" t="s">
        <v>58</v>
      </c>
      <c r="S131" t="s">
        <v>104</v>
      </c>
      <c r="T131" t="s">
        <v>15</v>
      </c>
      <c r="U131" t="s">
        <v>25</v>
      </c>
      <c r="V131" s="1">
        <v>40770</v>
      </c>
      <c r="W131" s="1">
        <v>41006</v>
      </c>
      <c r="X131" t="s">
        <v>48</v>
      </c>
      <c r="Y131" t="s">
        <v>36</v>
      </c>
      <c r="Z131" t="s">
        <v>11</v>
      </c>
      <c r="AA131" t="s">
        <v>78</v>
      </c>
      <c r="AB131">
        <v>30</v>
      </c>
      <c r="AC131" t="s">
        <v>66</v>
      </c>
      <c r="AD131" t="s">
        <v>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25">
      <c r="A132" t="s">
        <v>308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85</v>
      </c>
      <c r="N132" t="s">
        <v>19</v>
      </c>
      <c r="O132">
        <v>2493</v>
      </c>
      <c r="P132" s="1">
        <v>30733</v>
      </c>
      <c r="Q132" t="s">
        <v>18</v>
      </c>
      <c r="R132" t="s">
        <v>26</v>
      </c>
      <c r="S132" t="s">
        <v>16</v>
      </c>
      <c r="T132" t="s">
        <v>15</v>
      </c>
      <c r="U132" t="s">
        <v>25</v>
      </c>
      <c r="V132" s="1">
        <v>42093</v>
      </c>
      <c r="X132" t="s">
        <v>13</v>
      </c>
      <c r="Y132" t="s">
        <v>12</v>
      </c>
      <c r="Z132" t="s">
        <v>24</v>
      </c>
      <c r="AA132" t="s">
        <v>23</v>
      </c>
      <c r="AB132">
        <v>4</v>
      </c>
      <c r="AC132" t="s">
        <v>66</v>
      </c>
      <c r="AD132" t="s">
        <v>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25">
      <c r="A133" t="s">
        <v>307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306</v>
      </c>
      <c r="N133" t="s">
        <v>305</v>
      </c>
      <c r="O133">
        <v>2908</v>
      </c>
      <c r="P133" s="1">
        <v>24183</v>
      </c>
      <c r="Q133" t="s">
        <v>18</v>
      </c>
      <c r="R133" t="s">
        <v>58</v>
      </c>
      <c r="S133" t="s">
        <v>16</v>
      </c>
      <c r="T133" t="s">
        <v>15</v>
      </c>
      <c r="U133" t="s">
        <v>25</v>
      </c>
      <c r="V133" s="1">
        <v>41764</v>
      </c>
      <c r="X133" t="s">
        <v>13</v>
      </c>
      <c r="Y133" t="s">
        <v>12</v>
      </c>
      <c r="Z133" t="s">
        <v>88</v>
      </c>
      <c r="AA133" t="s">
        <v>30</v>
      </c>
      <c r="AB133">
        <v>2</v>
      </c>
      <c r="AC133" t="s">
        <v>9</v>
      </c>
      <c r="AD133" t="s">
        <v>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25">
      <c r="A134" t="s">
        <v>304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147</v>
      </c>
      <c r="N134" t="s">
        <v>19</v>
      </c>
      <c r="O134">
        <v>2170</v>
      </c>
      <c r="P134" s="1">
        <v>31306</v>
      </c>
      <c r="Q134" t="s">
        <v>18</v>
      </c>
      <c r="R134" t="s">
        <v>58</v>
      </c>
      <c r="S134" t="s">
        <v>16</v>
      </c>
      <c r="T134" t="s">
        <v>15</v>
      </c>
      <c r="U134" t="s">
        <v>49</v>
      </c>
      <c r="V134" s="1">
        <v>42051</v>
      </c>
      <c r="W134" s="1">
        <v>42109</v>
      </c>
      <c r="X134" t="s">
        <v>84</v>
      </c>
      <c r="Y134" t="s">
        <v>81</v>
      </c>
      <c r="Z134" t="s">
        <v>133</v>
      </c>
      <c r="AA134" t="s">
        <v>132</v>
      </c>
      <c r="AB134">
        <v>1</v>
      </c>
      <c r="AC134" t="s">
        <v>66</v>
      </c>
      <c r="AD134" t="s">
        <v>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25">
      <c r="A135" t="s">
        <v>303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20</v>
      </c>
      <c r="N135" t="s">
        <v>19</v>
      </c>
      <c r="O135">
        <v>2176</v>
      </c>
      <c r="P135" s="1">
        <v>31573</v>
      </c>
      <c r="Q135" t="s">
        <v>18</v>
      </c>
      <c r="R135" t="s">
        <v>26</v>
      </c>
      <c r="S135" t="s">
        <v>16</v>
      </c>
      <c r="T135" t="s">
        <v>15</v>
      </c>
      <c r="U135" t="s">
        <v>25</v>
      </c>
      <c r="V135" s="1">
        <v>40959</v>
      </c>
      <c r="X135" t="s">
        <v>13</v>
      </c>
      <c r="Y135" t="s">
        <v>12</v>
      </c>
      <c r="Z135" t="s">
        <v>11</v>
      </c>
      <c r="AA135" t="s">
        <v>47</v>
      </c>
      <c r="AB135">
        <v>19</v>
      </c>
      <c r="AC135" t="s">
        <v>9</v>
      </c>
      <c r="AD135" t="s">
        <v>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25">
      <c r="A136" t="s">
        <v>302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41</v>
      </c>
      <c r="N136" t="s">
        <v>19</v>
      </c>
      <c r="O136">
        <v>2021</v>
      </c>
      <c r="P136" s="1">
        <v>30752</v>
      </c>
      <c r="Q136" t="s">
        <v>18</v>
      </c>
      <c r="R136" t="s">
        <v>26</v>
      </c>
      <c r="S136" t="s">
        <v>16</v>
      </c>
      <c r="T136" t="s">
        <v>15</v>
      </c>
      <c r="U136" t="s">
        <v>25</v>
      </c>
      <c r="V136" s="1">
        <v>42527</v>
      </c>
      <c r="X136" t="s">
        <v>13</v>
      </c>
      <c r="Y136" t="s">
        <v>12</v>
      </c>
      <c r="Z136" t="s">
        <v>11</v>
      </c>
      <c r="AA136" t="s">
        <v>72</v>
      </c>
      <c r="AB136">
        <v>16</v>
      </c>
      <c r="AC136" t="s">
        <v>9</v>
      </c>
      <c r="AD136" t="s">
        <v>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25">
      <c r="A137" t="s">
        <v>301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41</v>
      </c>
      <c r="N137" t="s">
        <v>19</v>
      </c>
      <c r="O137">
        <v>2351</v>
      </c>
      <c r="P137" s="1">
        <v>33731</v>
      </c>
      <c r="Q137" t="s">
        <v>18</v>
      </c>
      <c r="R137" t="s">
        <v>110</v>
      </c>
      <c r="S137" t="s">
        <v>16</v>
      </c>
      <c r="T137" t="s">
        <v>15</v>
      </c>
      <c r="U137" t="s">
        <v>25</v>
      </c>
      <c r="V137" s="1">
        <v>42160</v>
      </c>
      <c r="X137" t="s">
        <v>13</v>
      </c>
      <c r="Y137" t="s">
        <v>12</v>
      </c>
      <c r="Z137" t="s">
        <v>11</v>
      </c>
      <c r="AA137" t="s">
        <v>60</v>
      </c>
      <c r="AC137" t="s">
        <v>66</v>
      </c>
      <c r="AD137" t="s">
        <v>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25">
      <c r="A138" t="s">
        <v>300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41</v>
      </c>
      <c r="N138" t="s">
        <v>19</v>
      </c>
      <c r="O138">
        <v>1742</v>
      </c>
      <c r="P138" s="1">
        <v>28025</v>
      </c>
      <c r="Q138" t="s">
        <v>18</v>
      </c>
      <c r="R138" t="s">
        <v>52</v>
      </c>
      <c r="S138" t="s">
        <v>16</v>
      </c>
      <c r="T138" t="s">
        <v>15</v>
      </c>
      <c r="U138" t="s">
        <v>25</v>
      </c>
      <c r="V138" s="1">
        <v>40595</v>
      </c>
      <c r="W138" s="1">
        <v>41365</v>
      </c>
      <c r="X138" t="s">
        <v>56</v>
      </c>
      <c r="Y138" t="s">
        <v>36</v>
      </c>
      <c r="Z138" t="s">
        <v>11</v>
      </c>
      <c r="AA138" t="s">
        <v>55</v>
      </c>
      <c r="AB138">
        <v>11</v>
      </c>
      <c r="AC138" t="s">
        <v>34</v>
      </c>
      <c r="AD138" t="s">
        <v>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25">
      <c r="A139" t="s">
        <v>299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75</v>
      </c>
      <c r="N139" t="s">
        <v>19</v>
      </c>
      <c r="O139">
        <v>2128</v>
      </c>
      <c r="P139" s="1">
        <v>28079</v>
      </c>
      <c r="Q139" t="s">
        <v>40</v>
      </c>
      <c r="R139" t="s">
        <v>58</v>
      </c>
      <c r="S139" t="s">
        <v>16</v>
      </c>
      <c r="T139" t="s">
        <v>15</v>
      </c>
      <c r="U139" t="s">
        <v>14</v>
      </c>
      <c r="V139" s="1">
        <v>40595</v>
      </c>
      <c r="W139" s="1">
        <v>41176</v>
      </c>
      <c r="X139" t="s">
        <v>56</v>
      </c>
      <c r="Y139" t="s">
        <v>36</v>
      </c>
      <c r="Z139" t="s">
        <v>11</v>
      </c>
      <c r="AA139" t="s">
        <v>30</v>
      </c>
      <c r="AB139">
        <v>2</v>
      </c>
      <c r="AC139" t="s">
        <v>66</v>
      </c>
      <c r="AD139" t="s">
        <v>70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25">
      <c r="A140" t="s">
        <v>298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20</v>
      </c>
      <c r="N140" t="s">
        <v>19</v>
      </c>
      <c r="O140">
        <v>1775</v>
      </c>
      <c r="P140" s="1">
        <v>33266</v>
      </c>
      <c r="Q140" t="s">
        <v>18</v>
      </c>
      <c r="R140" t="s">
        <v>26</v>
      </c>
      <c r="S140" t="s">
        <v>16</v>
      </c>
      <c r="T140" t="s">
        <v>15</v>
      </c>
      <c r="U140" t="s">
        <v>25</v>
      </c>
      <c r="V140" s="1">
        <v>41505</v>
      </c>
      <c r="X140" t="s">
        <v>13</v>
      </c>
      <c r="Y140" t="s">
        <v>12</v>
      </c>
      <c r="Z140" t="s">
        <v>11</v>
      </c>
      <c r="AA140" t="s">
        <v>35</v>
      </c>
      <c r="AB140">
        <v>12</v>
      </c>
      <c r="AC140" t="s">
        <v>66</v>
      </c>
      <c r="AD140" t="s">
        <v>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25">
      <c r="A141" t="s">
        <v>297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20</v>
      </c>
      <c r="N141" t="s">
        <v>19</v>
      </c>
      <c r="O141">
        <v>2081</v>
      </c>
      <c r="P141" s="1">
        <v>26553</v>
      </c>
      <c r="Q141" t="s">
        <v>18</v>
      </c>
      <c r="R141" t="s">
        <v>26</v>
      </c>
      <c r="S141" t="s">
        <v>16</v>
      </c>
      <c r="T141" t="s">
        <v>15</v>
      </c>
      <c r="U141" t="s">
        <v>49</v>
      </c>
      <c r="V141" s="1">
        <v>41218</v>
      </c>
      <c r="X141" t="s">
        <v>13</v>
      </c>
      <c r="Y141" t="s">
        <v>12</v>
      </c>
      <c r="Z141" t="s">
        <v>11</v>
      </c>
      <c r="AA141" t="s">
        <v>10</v>
      </c>
      <c r="AB141">
        <v>14</v>
      </c>
      <c r="AC141" t="s">
        <v>9</v>
      </c>
      <c r="AD141" t="s">
        <v>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25">
      <c r="A142" t="s">
        <v>296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20</v>
      </c>
      <c r="N142" t="s">
        <v>19</v>
      </c>
      <c r="O142">
        <v>1778</v>
      </c>
      <c r="P142" s="1">
        <v>24188</v>
      </c>
      <c r="Q142" t="s">
        <v>18</v>
      </c>
      <c r="R142" t="s">
        <v>52</v>
      </c>
      <c r="S142" t="s">
        <v>16</v>
      </c>
      <c r="T142" t="s">
        <v>15</v>
      </c>
      <c r="U142" t="s">
        <v>25</v>
      </c>
      <c r="V142" s="1">
        <v>41547</v>
      </c>
      <c r="X142" t="s">
        <v>13</v>
      </c>
      <c r="Y142" t="s">
        <v>12</v>
      </c>
      <c r="Z142" t="s">
        <v>11</v>
      </c>
      <c r="AA142" t="s">
        <v>39</v>
      </c>
      <c r="AB142">
        <v>20</v>
      </c>
      <c r="AC142" t="s">
        <v>22</v>
      </c>
      <c r="AD142" t="s">
        <v>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25">
      <c r="A143" t="s">
        <v>295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41</v>
      </c>
      <c r="N143" t="s">
        <v>19</v>
      </c>
      <c r="O143">
        <v>1821</v>
      </c>
      <c r="P143" s="1">
        <v>31722</v>
      </c>
      <c r="Q143" t="s">
        <v>18</v>
      </c>
      <c r="R143" t="s">
        <v>52</v>
      </c>
      <c r="S143" t="s">
        <v>16</v>
      </c>
      <c r="T143" t="s">
        <v>15</v>
      </c>
      <c r="U143" t="s">
        <v>294</v>
      </c>
      <c r="V143" s="1">
        <v>40729</v>
      </c>
      <c r="X143" t="s">
        <v>13</v>
      </c>
      <c r="Y143" t="s">
        <v>12</v>
      </c>
      <c r="Z143" t="s">
        <v>11</v>
      </c>
      <c r="AA143" t="s">
        <v>47</v>
      </c>
      <c r="AB143">
        <v>19</v>
      </c>
      <c r="AC143" t="s">
        <v>9</v>
      </c>
      <c r="AD143" t="s">
        <v>29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25">
      <c r="A144" t="s">
        <v>293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20</v>
      </c>
      <c r="N144" t="s">
        <v>19</v>
      </c>
      <c r="O144">
        <v>2109</v>
      </c>
      <c r="P144" s="1">
        <v>23480</v>
      </c>
      <c r="Q144" t="s">
        <v>18</v>
      </c>
      <c r="R144" t="s">
        <v>110</v>
      </c>
      <c r="S144" t="s">
        <v>16</v>
      </c>
      <c r="T144" t="s">
        <v>15</v>
      </c>
      <c r="U144" t="s">
        <v>25</v>
      </c>
      <c r="V144" s="1">
        <v>41645</v>
      </c>
      <c r="X144" t="s">
        <v>13</v>
      </c>
      <c r="Y144" t="s">
        <v>12</v>
      </c>
      <c r="Z144" t="s">
        <v>11</v>
      </c>
      <c r="AA144" t="s">
        <v>80</v>
      </c>
      <c r="AB144">
        <v>18</v>
      </c>
      <c r="AC144" t="s">
        <v>9</v>
      </c>
      <c r="AD144" t="s">
        <v>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25">
      <c r="A145" t="s">
        <v>292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20</v>
      </c>
      <c r="N145" t="s">
        <v>19</v>
      </c>
      <c r="O145">
        <v>2445</v>
      </c>
      <c r="P145" s="1">
        <v>21781</v>
      </c>
      <c r="Q145" t="s">
        <v>40</v>
      </c>
      <c r="R145" t="s">
        <v>58</v>
      </c>
      <c r="S145" t="s">
        <v>16</v>
      </c>
      <c r="T145" t="s">
        <v>15</v>
      </c>
      <c r="U145" t="s">
        <v>25</v>
      </c>
      <c r="V145" s="1">
        <v>40854</v>
      </c>
      <c r="W145" s="1">
        <v>43219</v>
      </c>
      <c r="X145" t="s">
        <v>187</v>
      </c>
      <c r="Y145" t="s">
        <v>36</v>
      </c>
      <c r="Z145" t="s">
        <v>11</v>
      </c>
      <c r="AA145" t="s">
        <v>78</v>
      </c>
      <c r="AB145">
        <v>22</v>
      </c>
      <c r="AC145" t="s">
        <v>71</v>
      </c>
      <c r="AD145" t="s">
        <v>29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25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85</v>
      </c>
      <c r="N146" t="s">
        <v>19</v>
      </c>
      <c r="O146">
        <v>2301</v>
      </c>
      <c r="P146" s="1">
        <v>31723</v>
      </c>
      <c r="Q146" t="s">
        <v>18</v>
      </c>
      <c r="R146" t="s">
        <v>58</v>
      </c>
      <c r="S146" t="s">
        <v>16</v>
      </c>
      <c r="T146" t="s">
        <v>15</v>
      </c>
      <c r="U146" t="s">
        <v>14</v>
      </c>
      <c r="V146" s="1">
        <v>42009</v>
      </c>
      <c r="X146" t="s">
        <v>13</v>
      </c>
      <c r="Y146" t="s">
        <v>12</v>
      </c>
      <c r="Z146" t="s">
        <v>24</v>
      </c>
      <c r="AA146" t="s">
        <v>23</v>
      </c>
      <c r="AB146">
        <v>4</v>
      </c>
      <c r="AC146" t="s">
        <v>66</v>
      </c>
      <c r="AD146" t="s">
        <v>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25">
      <c r="A147" t="s">
        <v>290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41</v>
      </c>
      <c r="N147" t="s">
        <v>19</v>
      </c>
      <c r="O147">
        <v>2128</v>
      </c>
      <c r="P147" s="1">
        <v>25454</v>
      </c>
      <c r="Q147" t="s">
        <v>18</v>
      </c>
      <c r="R147" t="s">
        <v>26</v>
      </c>
      <c r="S147" t="s">
        <v>16</v>
      </c>
      <c r="T147" t="s">
        <v>15</v>
      </c>
      <c r="U147" t="s">
        <v>25</v>
      </c>
      <c r="V147" s="1">
        <v>41827</v>
      </c>
      <c r="X147" t="s">
        <v>13</v>
      </c>
      <c r="Y147" t="s">
        <v>12</v>
      </c>
      <c r="Z147" t="s">
        <v>11</v>
      </c>
      <c r="AA147" t="s">
        <v>35</v>
      </c>
      <c r="AB147">
        <v>12</v>
      </c>
      <c r="AC147" t="s">
        <v>9</v>
      </c>
      <c r="AD147" t="s">
        <v>29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25">
      <c r="A148" t="s">
        <v>289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20</v>
      </c>
      <c r="N148" t="s">
        <v>19</v>
      </c>
      <c r="O148">
        <v>2446</v>
      </c>
      <c r="P148" s="1">
        <v>31519</v>
      </c>
      <c r="Q148" t="s">
        <v>18</v>
      </c>
      <c r="R148" t="s">
        <v>58</v>
      </c>
      <c r="S148" t="s">
        <v>16</v>
      </c>
      <c r="T148" t="s">
        <v>15</v>
      </c>
      <c r="U148" t="s">
        <v>49</v>
      </c>
      <c r="V148" s="1">
        <v>40553</v>
      </c>
      <c r="W148" s="1">
        <v>42461</v>
      </c>
      <c r="X148" t="s">
        <v>56</v>
      </c>
      <c r="Y148" t="s">
        <v>36</v>
      </c>
      <c r="Z148" t="s">
        <v>11</v>
      </c>
      <c r="AA148" t="s">
        <v>72</v>
      </c>
      <c r="AB148">
        <v>16</v>
      </c>
      <c r="AC148" t="s">
        <v>71</v>
      </c>
      <c r="AD148" t="s">
        <v>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25">
      <c r="A149" t="s">
        <v>288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150</v>
      </c>
      <c r="N149" t="s">
        <v>287</v>
      </c>
      <c r="O149">
        <v>19444</v>
      </c>
      <c r="P149" s="1">
        <v>32823</v>
      </c>
      <c r="Q149" t="s">
        <v>18</v>
      </c>
      <c r="R149" t="s">
        <v>26</v>
      </c>
      <c r="S149" t="s">
        <v>16</v>
      </c>
      <c r="T149" t="s">
        <v>15</v>
      </c>
      <c r="U149" t="s">
        <v>25</v>
      </c>
      <c r="V149" s="1">
        <v>40854</v>
      </c>
      <c r="W149" s="1">
        <v>41753</v>
      </c>
      <c r="X149" t="s">
        <v>93</v>
      </c>
      <c r="Y149" t="s">
        <v>36</v>
      </c>
      <c r="Z149" t="s">
        <v>88</v>
      </c>
      <c r="AA149" t="s">
        <v>149</v>
      </c>
      <c r="AB149">
        <v>15</v>
      </c>
      <c r="AC149" t="s">
        <v>34</v>
      </c>
      <c r="AD149" t="s">
        <v>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25">
      <c r="A150" t="s">
        <v>286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20</v>
      </c>
      <c r="N150" t="s">
        <v>19</v>
      </c>
      <c r="O150">
        <v>1887</v>
      </c>
      <c r="P150" s="1">
        <v>27778</v>
      </c>
      <c r="Q150" t="s">
        <v>40</v>
      </c>
      <c r="R150" t="s">
        <v>26</v>
      </c>
      <c r="S150" t="s">
        <v>16</v>
      </c>
      <c r="T150" t="s">
        <v>15</v>
      </c>
      <c r="U150" t="s">
        <v>25</v>
      </c>
      <c r="V150" s="1">
        <v>41547</v>
      </c>
      <c r="X150" t="s">
        <v>13</v>
      </c>
      <c r="Y150" t="s">
        <v>12</v>
      </c>
      <c r="Z150" t="s">
        <v>11</v>
      </c>
      <c r="AA150" t="s">
        <v>78</v>
      </c>
      <c r="AB150">
        <v>22</v>
      </c>
      <c r="AC150" t="s">
        <v>66</v>
      </c>
      <c r="AD150" t="s">
        <v>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25">
      <c r="A151" t="s">
        <v>285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90</v>
      </c>
      <c r="N151" t="s">
        <v>284</v>
      </c>
      <c r="O151">
        <v>80820</v>
      </c>
      <c r="P151" s="1">
        <v>29186</v>
      </c>
      <c r="Q151" t="s">
        <v>40</v>
      </c>
      <c r="R151" t="s">
        <v>26</v>
      </c>
      <c r="S151" t="s">
        <v>16</v>
      </c>
      <c r="T151" t="s">
        <v>15</v>
      </c>
      <c r="U151" t="s">
        <v>25</v>
      </c>
      <c r="V151" s="1">
        <v>41505</v>
      </c>
      <c r="X151" t="s">
        <v>13</v>
      </c>
      <c r="Y151" t="s">
        <v>12</v>
      </c>
      <c r="Z151" t="s">
        <v>88</v>
      </c>
      <c r="AA151" t="s">
        <v>109</v>
      </c>
      <c r="AB151">
        <v>21</v>
      </c>
      <c r="AC151" t="s">
        <v>66</v>
      </c>
      <c r="AD151" t="s">
        <v>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25">
      <c r="A152" t="s">
        <v>283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282</v>
      </c>
      <c r="N152" t="s">
        <v>19</v>
      </c>
      <c r="O152">
        <v>1902</v>
      </c>
      <c r="P152" s="1">
        <v>19988</v>
      </c>
      <c r="Q152" t="s">
        <v>18</v>
      </c>
      <c r="R152" t="s">
        <v>58</v>
      </c>
      <c r="S152" t="s">
        <v>16</v>
      </c>
      <c r="T152" t="s">
        <v>50</v>
      </c>
      <c r="U152" t="s">
        <v>25</v>
      </c>
      <c r="V152" s="1">
        <v>41092</v>
      </c>
      <c r="X152" t="s">
        <v>13</v>
      </c>
      <c r="Y152" t="s">
        <v>12</v>
      </c>
      <c r="Z152" t="s">
        <v>281</v>
      </c>
      <c r="AA152" t="s">
        <v>280</v>
      </c>
      <c r="AB152">
        <v>9</v>
      </c>
      <c r="AC152" t="s">
        <v>66</v>
      </c>
      <c r="AD152" t="s">
        <v>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25">
      <c r="A153" t="s">
        <v>279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20</v>
      </c>
      <c r="N153" t="s">
        <v>19</v>
      </c>
      <c r="O153">
        <v>2170</v>
      </c>
      <c r="P153" s="1">
        <v>27006</v>
      </c>
      <c r="Q153" t="s">
        <v>18</v>
      </c>
      <c r="R153" t="s">
        <v>58</v>
      </c>
      <c r="S153" t="s">
        <v>16</v>
      </c>
      <c r="T153" t="s">
        <v>15</v>
      </c>
      <c r="U153" t="s">
        <v>25</v>
      </c>
      <c r="V153" s="1">
        <v>40812</v>
      </c>
      <c r="W153" s="1">
        <v>42159</v>
      </c>
      <c r="X153" t="s">
        <v>187</v>
      </c>
      <c r="Y153" t="s">
        <v>36</v>
      </c>
      <c r="Z153" t="s">
        <v>11</v>
      </c>
      <c r="AA153" t="s">
        <v>60</v>
      </c>
      <c r="AB153">
        <v>39</v>
      </c>
      <c r="AC153" t="s">
        <v>34</v>
      </c>
      <c r="AD153" t="s">
        <v>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25">
      <c r="A154" t="s">
        <v>278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20</v>
      </c>
      <c r="N154" t="s">
        <v>19</v>
      </c>
      <c r="O154">
        <v>2127</v>
      </c>
      <c r="P154" s="1">
        <v>25849</v>
      </c>
      <c r="Q154" t="s">
        <v>18</v>
      </c>
      <c r="R154" t="s">
        <v>58</v>
      </c>
      <c r="S154" t="s">
        <v>16</v>
      </c>
      <c r="T154" t="s">
        <v>15</v>
      </c>
      <c r="U154" t="s">
        <v>25</v>
      </c>
      <c r="V154" s="1">
        <v>40812</v>
      </c>
      <c r="W154" s="1">
        <v>41648</v>
      </c>
      <c r="X154" t="s">
        <v>187</v>
      </c>
      <c r="Y154" t="s">
        <v>36</v>
      </c>
      <c r="Z154" t="s">
        <v>11</v>
      </c>
      <c r="AA154" t="s">
        <v>55</v>
      </c>
      <c r="AB154">
        <v>11</v>
      </c>
      <c r="AC154" t="s">
        <v>34</v>
      </c>
      <c r="AD154" t="s">
        <v>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25">
      <c r="A155" t="s">
        <v>277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20</v>
      </c>
      <c r="N155" t="s">
        <v>19</v>
      </c>
      <c r="O155">
        <v>1721</v>
      </c>
      <c r="P155" s="1">
        <v>28439</v>
      </c>
      <c r="Q155" t="s">
        <v>40</v>
      </c>
      <c r="R155" t="s">
        <v>26</v>
      </c>
      <c r="S155" t="s">
        <v>16</v>
      </c>
      <c r="T155" t="s">
        <v>15</v>
      </c>
      <c r="U155" t="s">
        <v>49</v>
      </c>
      <c r="V155" s="1">
        <v>41687</v>
      </c>
      <c r="X155" t="s">
        <v>13</v>
      </c>
      <c r="Y155" t="s">
        <v>12</v>
      </c>
      <c r="Z155" t="s">
        <v>11</v>
      </c>
      <c r="AA155" t="s">
        <v>47</v>
      </c>
      <c r="AB155">
        <v>19</v>
      </c>
      <c r="AC155" t="s">
        <v>9</v>
      </c>
      <c r="AD155" t="s">
        <v>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25">
      <c r="A156" t="s">
        <v>276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20</v>
      </c>
      <c r="N156" t="s">
        <v>19</v>
      </c>
      <c r="O156">
        <v>1801</v>
      </c>
      <c r="P156" s="1">
        <v>29253</v>
      </c>
      <c r="Q156" t="s">
        <v>40</v>
      </c>
      <c r="R156" t="s">
        <v>58</v>
      </c>
      <c r="S156" t="s">
        <v>16</v>
      </c>
      <c r="T156" t="s">
        <v>15</v>
      </c>
      <c r="U156" t="s">
        <v>14</v>
      </c>
      <c r="V156" s="1">
        <v>40553</v>
      </c>
      <c r="X156" t="s">
        <v>13</v>
      </c>
      <c r="Y156" t="s">
        <v>12</v>
      </c>
      <c r="Z156" t="s">
        <v>11</v>
      </c>
      <c r="AA156" t="s">
        <v>35</v>
      </c>
      <c r="AB156">
        <v>12</v>
      </c>
      <c r="AC156" t="s">
        <v>66</v>
      </c>
      <c r="AD156" t="s">
        <v>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25">
      <c r="A157" t="s">
        <v>275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90</v>
      </c>
      <c r="N157" t="s">
        <v>274</v>
      </c>
      <c r="O157">
        <v>10171</v>
      </c>
      <c r="P157" s="1">
        <v>25258</v>
      </c>
      <c r="Q157" t="s">
        <v>40</v>
      </c>
      <c r="R157" t="s">
        <v>26</v>
      </c>
      <c r="S157" t="s">
        <v>16</v>
      </c>
      <c r="T157" t="s">
        <v>50</v>
      </c>
      <c r="U157" t="s">
        <v>49</v>
      </c>
      <c r="V157" s="1">
        <v>40609</v>
      </c>
      <c r="X157" t="s">
        <v>13</v>
      </c>
      <c r="Y157" t="s">
        <v>12</v>
      </c>
      <c r="Z157" t="s">
        <v>88</v>
      </c>
      <c r="AA157" t="s">
        <v>87</v>
      </c>
      <c r="AB157">
        <v>17</v>
      </c>
      <c r="AC157" t="s">
        <v>46</v>
      </c>
      <c r="AD157" t="s">
        <v>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25">
      <c r="A158" t="s">
        <v>273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64</v>
      </c>
      <c r="N158" t="s">
        <v>19</v>
      </c>
      <c r="O158">
        <v>2169</v>
      </c>
      <c r="P158" s="1">
        <v>31525</v>
      </c>
      <c r="Q158" t="s">
        <v>40</v>
      </c>
      <c r="R158" t="s">
        <v>58</v>
      </c>
      <c r="S158" t="s">
        <v>16</v>
      </c>
      <c r="T158" t="s">
        <v>15</v>
      </c>
      <c r="U158" t="s">
        <v>25</v>
      </c>
      <c r="V158" s="1">
        <v>41953</v>
      </c>
      <c r="X158" t="s">
        <v>13</v>
      </c>
      <c r="Y158" t="s">
        <v>12</v>
      </c>
      <c r="Z158" t="s">
        <v>24</v>
      </c>
      <c r="AA158" t="s">
        <v>63</v>
      </c>
      <c r="AB158">
        <v>7</v>
      </c>
      <c r="AC158" t="s">
        <v>22</v>
      </c>
      <c r="AD158" t="s">
        <v>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25">
      <c r="A159" t="s">
        <v>272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75</v>
      </c>
      <c r="N159" t="s">
        <v>19</v>
      </c>
      <c r="O159">
        <v>1890</v>
      </c>
      <c r="P159" s="1">
        <v>26481</v>
      </c>
      <c r="Q159" t="s">
        <v>40</v>
      </c>
      <c r="R159" t="s">
        <v>58</v>
      </c>
      <c r="S159" t="s">
        <v>16</v>
      </c>
      <c r="T159" t="s">
        <v>15</v>
      </c>
      <c r="U159" t="s">
        <v>25</v>
      </c>
      <c r="V159" s="1">
        <v>40553</v>
      </c>
      <c r="W159" s="1">
        <v>42350</v>
      </c>
      <c r="X159" t="s">
        <v>178</v>
      </c>
      <c r="Y159" t="s">
        <v>81</v>
      </c>
      <c r="Z159" t="s">
        <v>11</v>
      </c>
      <c r="AA159" t="s">
        <v>30</v>
      </c>
      <c r="AB159">
        <v>2</v>
      </c>
      <c r="AC159" t="s">
        <v>22</v>
      </c>
      <c r="AD159" t="s">
        <v>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25">
      <c r="A160" t="s">
        <v>271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41</v>
      </c>
      <c r="N160" t="s">
        <v>19</v>
      </c>
      <c r="O160">
        <v>2090</v>
      </c>
      <c r="P160" s="1">
        <v>29061</v>
      </c>
      <c r="Q160" t="s">
        <v>18</v>
      </c>
      <c r="R160" t="s">
        <v>52</v>
      </c>
      <c r="S160" t="s">
        <v>16</v>
      </c>
      <c r="T160" t="s">
        <v>15</v>
      </c>
      <c r="U160" t="s">
        <v>14</v>
      </c>
      <c r="V160" s="1">
        <v>41281</v>
      </c>
      <c r="W160" s="1">
        <v>41729</v>
      </c>
      <c r="X160" t="s">
        <v>37</v>
      </c>
      <c r="Y160" t="s">
        <v>36</v>
      </c>
      <c r="Z160" t="s">
        <v>11</v>
      </c>
      <c r="AA160" t="s">
        <v>10</v>
      </c>
      <c r="AB160">
        <v>14</v>
      </c>
      <c r="AC160" t="s">
        <v>66</v>
      </c>
      <c r="AD160" t="s">
        <v>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25">
      <c r="A161" t="s">
        <v>270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20</v>
      </c>
      <c r="N161" t="s">
        <v>19</v>
      </c>
      <c r="O161">
        <v>2048</v>
      </c>
      <c r="P161" s="1">
        <v>31755</v>
      </c>
      <c r="Q161" t="s">
        <v>40</v>
      </c>
      <c r="R161" t="s">
        <v>58</v>
      </c>
      <c r="S161" t="s">
        <v>16</v>
      </c>
      <c r="T161" t="s">
        <v>15</v>
      </c>
      <c r="U161" t="s">
        <v>25</v>
      </c>
      <c r="V161" s="1">
        <v>41099</v>
      </c>
      <c r="X161" t="s">
        <v>13</v>
      </c>
      <c r="Y161" t="s">
        <v>12</v>
      </c>
      <c r="Z161" t="s">
        <v>11</v>
      </c>
      <c r="AA161" t="s">
        <v>10</v>
      </c>
      <c r="AB161">
        <v>14</v>
      </c>
      <c r="AC161" t="s">
        <v>9</v>
      </c>
      <c r="AD161" t="s">
        <v>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25">
      <c r="A162" t="s">
        <v>269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19</v>
      </c>
      <c r="O162">
        <v>1460</v>
      </c>
      <c r="P162" s="1">
        <v>30798</v>
      </c>
      <c r="Q162" t="s">
        <v>40</v>
      </c>
      <c r="R162" t="s">
        <v>52</v>
      </c>
      <c r="S162" t="s">
        <v>16</v>
      </c>
      <c r="T162" t="s">
        <v>15</v>
      </c>
      <c r="U162" t="s">
        <v>49</v>
      </c>
      <c r="V162" s="1">
        <v>41645</v>
      </c>
      <c r="X162" t="s">
        <v>13</v>
      </c>
      <c r="Y162" t="s">
        <v>12</v>
      </c>
      <c r="Z162" t="s">
        <v>133</v>
      </c>
      <c r="AA162" t="s">
        <v>132</v>
      </c>
      <c r="AB162">
        <v>1</v>
      </c>
      <c r="AC162" t="s">
        <v>54</v>
      </c>
      <c r="AD162" t="s">
        <v>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25">
      <c r="A163" t="s">
        <v>268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41</v>
      </c>
      <c r="N163" t="s">
        <v>19</v>
      </c>
      <c r="O163">
        <v>2126</v>
      </c>
      <c r="P163" s="1">
        <v>30811</v>
      </c>
      <c r="Q163" t="s">
        <v>40</v>
      </c>
      <c r="R163" t="s">
        <v>58</v>
      </c>
      <c r="S163" t="s">
        <v>16</v>
      </c>
      <c r="T163" t="s">
        <v>15</v>
      </c>
      <c r="U163" t="s">
        <v>25</v>
      </c>
      <c r="V163" s="1">
        <v>41001</v>
      </c>
      <c r="W163" s="1">
        <v>41379</v>
      </c>
      <c r="X163" t="s">
        <v>187</v>
      </c>
      <c r="Y163" t="s">
        <v>36</v>
      </c>
      <c r="Z163" t="s">
        <v>11</v>
      </c>
      <c r="AA163" t="s">
        <v>39</v>
      </c>
      <c r="AB163">
        <v>20</v>
      </c>
      <c r="AC163" t="s">
        <v>34</v>
      </c>
      <c r="AD163" t="s">
        <v>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25">
      <c r="A164" t="s">
        <v>267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68</v>
      </c>
      <c r="N164" t="s">
        <v>19</v>
      </c>
      <c r="O164">
        <v>1886</v>
      </c>
      <c r="P164" s="1">
        <v>31942</v>
      </c>
      <c r="Q164" t="s">
        <v>18</v>
      </c>
      <c r="R164" t="s">
        <v>26</v>
      </c>
      <c r="S164" t="s">
        <v>16</v>
      </c>
      <c r="T164" t="s">
        <v>15</v>
      </c>
      <c r="U164" t="s">
        <v>14</v>
      </c>
      <c r="V164" s="1">
        <v>42645</v>
      </c>
      <c r="X164" t="s">
        <v>13</v>
      </c>
      <c r="Y164" t="s">
        <v>12</v>
      </c>
      <c r="Z164" t="s">
        <v>24</v>
      </c>
      <c r="AA164" t="s">
        <v>67</v>
      </c>
      <c r="AB164">
        <v>13</v>
      </c>
      <c r="AC164" t="s">
        <v>66</v>
      </c>
      <c r="AD164" t="s">
        <v>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25">
      <c r="A165" t="s">
        <v>266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20</v>
      </c>
      <c r="N165" t="s">
        <v>19</v>
      </c>
      <c r="O165">
        <v>1810</v>
      </c>
      <c r="P165" s="1">
        <v>28872</v>
      </c>
      <c r="Q165" t="s">
        <v>18</v>
      </c>
      <c r="R165" t="s">
        <v>26</v>
      </c>
      <c r="S165" t="s">
        <v>16</v>
      </c>
      <c r="T165" t="s">
        <v>15</v>
      </c>
      <c r="U165" t="s">
        <v>14</v>
      </c>
      <c r="V165" s="1">
        <v>40812</v>
      </c>
      <c r="W165" s="1">
        <v>43331</v>
      </c>
      <c r="X165" t="s">
        <v>117</v>
      </c>
      <c r="Y165" t="s">
        <v>36</v>
      </c>
      <c r="Z165" t="s">
        <v>11</v>
      </c>
      <c r="AA165" t="s">
        <v>39</v>
      </c>
      <c r="AB165">
        <v>20</v>
      </c>
      <c r="AC165" t="s">
        <v>71</v>
      </c>
      <c r="AD165" t="s">
        <v>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25">
      <c r="A166" t="s">
        <v>265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264</v>
      </c>
      <c r="N166" t="s">
        <v>19</v>
      </c>
      <c r="O166">
        <v>1460</v>
      </c>
      <c r="P166" s="1">
        <v>30843</v>
      </c>
      <c r="Q166" t="s">
        <v>40</v>
      </c>
      <c r="R166" t="s">
        <v>58</v>
      </c>
      <c r="S166" t="s">
        <v>16</v>
      </c>
      <c r="T166" t="s">
        <v>15</v>
      </c>
      <c r="U166" t="s">
        <v>25</v>
      </c>
      <c r="V166" s="1">
        <v>42374</v>
      </c>
      <c r="X166" t="s">
        <v>13</v>
      </c>
      <c r="Y166" t="s">
        <v>12</v>
      </c>
      <c r="Z166" t="s">
        <v>133</v>
      </c>
      <c r="AA166" t="s">
        <v>30</v>
      </c>
      <c r="AB166">
        <v>2</v>
      </c>
      <c r="AC166" t="s">
        <v>71</v>
      </c>
      <c r="AD166" t="s">
        <v>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25">
      <c r="A167" t="s">
        <v>263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20</v>
      </c>
      <c r="N167" t="s">
        <v>19</v>
      </c>
      <c r="O167">
        <v>1776</v>
      </c>
      <c r="P167" s="1">
        <v>30196</v>
      </c>
      <c r="Q167" t="s">
        <v>40</v>
      </c>
      <c r="R167" t="s">
        <v>58</v>
      </c>
      <c r="S167" t="s">
        <v>16</v>
      </c>
      <c r="T167" t="s">
        <v>15</v>
      </c>
      <c r="U167" t="s">
        <v>14</v>
      </c>
      <c r="V167" s="1">
        <v>41043</v>
      </c>
      <c r="X167" t="s">
        <v>13</v>
      </c>
      <c r="Y167" t="s">
        <v>12</v>
      </c>
      <c r="Z167" t="s">
        <v>11</v>
      </c>
      <c r="AA167" t="s">
        <v>72</v>
      </c>
      <c r="AB167">
        <v>16</v>
      </c>
      <c r="AC167" t="s">
        <v>34</v>
      </c>
      <c r="AD167" t="s">
        <v>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25">
      <c r="A168" t="s">
        <v>262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90</v>
      </c>
      <c r="N168" t="s">
        <v>261</v>
      </c>
      <c r="O168">
        <v>84111</v>
      </c>
      <c r="P168" s="1">
        <v>32504</v>
      </c>
      <c r="Q168" t="s">
        <v>40</v>
      </c>
      <c r="R168" t="s">
        <v>110</v>
      </c>
      <c r="S168" t="s">
        <v>16</v>
      </c>
      <c r="T168" t="s">
        <v>15</v>
      </c>
      <c r="U168" t="s">
        <v>49</v>
      </c>
      <c r="V168" s="1">
        <v>41029</v>
      </c>
      <c r="X168" t="s">
        <v>13</v>
      </c>
      <c r="Y168" t="s">
        <v>12</v>
      </c>
      <c r="Z168" t="s">
        <v>88</v>
      </c>
      <c r="AA168" t="s">
        <v>87</v>
      </c>
      <c r="AB168">
        <v>17</v>
      </c>
      <c r="AC168" t="s">
        <v>54</v>
      </c>
      <c r="AD168" t="s">
        <v>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25">
      <c r="A169" t="s">
        <v>260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75</v>
      </c>
      <c r="N169" t="s">
        <v>19</v>
      </c>
      <c r="O169">
        <v>2110</v>
      </c>
      <c r="P169" s="1">
        <v>29885</v>
      </c>
      <c r="Q169" t="s">
        <v>18</v>
      </c>
      <c r="R169" t="s">
        <v>58</v>
      </c>
      <c r="S169" t="s">
        <v>16</v>
      </c>
      <c r="T169" t="s">
        <v>15</v>
      </c>
      <c r="U169" t="s">
        <v>25</v>
      </c>
      <c r="V169" s="1">
        <v>41547</v>
      </c>
      <c r="X169" t="s">
        <v>13</v>
      </c>
      <c r="Y169" t="s">
        <v>12</v>
      </c>
      <c r="Z169" t="s">
        <v>11</v>
      </c>
      <c r="AA169" t="s">
        <v>30</v>
      </c>
      <c r="AB169">
        <v>2</v>
      </c>
      <c r="AC169" t="s">
        <v>54</v>
      </c>
      <c r="AD169" t="s">
        <v>29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25">
      <c r="A170" t="s">
        <v>259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20</v>
      </c>
      <c r="N170" t="s">
        <v>19</v>
      </c>
      <c r="O170">
        <v>1886</v>
      </c>
      <c r="P170" s="1">
        <v>29671</v>
      </c>
      <c r="Q170" t="s">
        <v>18</v>
      </c>
      <c r="R170" t="s">
        <v>58</v>
      </c>
      <c r="S170" t="s">
        <v>16</v>
      </c>
      <c r="T170" t="s">
        <v>15</v>
      </c>
      <c r="U170" t="s">
        <v>25</v>
      </c>
      <c r="V170" s="1">
        <v>40729</v>
      </c>
      <c r="W170" s="1">
        <v>43369</v>
      </c>
      <c r="X170" t="s">
        <v>56</v>
      </c>
      <c r="Y170" t="s">
        <v>36</v>
      </c>
      <c r="Z170" t="s">
        <v>11</v>
      </c>
      <c r="AA170" t="s">
        <v>78</v>
      </c>
      <c r="AB170">
        <v>22</v>
      </c>
      <c r="AC170" t="s">
        <v>66</v>
      </c>
      <c r="AD170" t="s">
        <v>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25">
      <c r="A171" t="s">
        <v>258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41</v>
      </c>
      <c r="N171" t="s">
        <v>19</v>
      </c>
      <c r="O171">
        <v>1770</v>
      </c>
      <c r="P171" s="1">
        <v>28933</v>
      </c>
      <c r="Q171" t="s">
        <v>40</v>
      </c>
      <c r="R171" t="s">
        <v>58</v>
      </c>
      <c r="S171" t="s">
        <v>16</v>
      </c>
      <c r="T171" t="s">
        <v>15</v>
      </c>
      <c r="U171" t="s">
        <v>25</v>
      </c>
      <c r="V171" s="1">
        <v>41463</v>
      </c>
      <c r="X171" t="s">
        <v>13</v>
      </c>
      <c r="Y171" t="s">
        <v>12</v>
      </c>
      <c r="Z171" t="s">
        <v>11</v>
      </c>
      <c r="AA171" t="s">
        <v>80</v>
      </c>
      <c r="AB171">
        <v>18</v>
      </c>
      <c r="AC171" t="s">
        <v>9</v>
      </c>
      <c r="AD171" t="s">
        <v>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25">
      <c r="A172" t="s">
        <v>257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144</v>
      </c>
      <c r="N172" t="s">
        <v>256</v>
      </c>
      <c r="O172">
        <v>6070</v>
      </c>
      <c r="P172" s="1">
        <v>32421</v>
      </c>
      <c r="Q172" t="s">
        <v>18</v>
      </c>
      <c r="R172" t="s">
        <v>26</v>
      </c>
      <c r="S172" t="s">
        <v>16</v>
      </c>
      <c r="T172" t="s">
        <v>50</v>
      </c>
      <c r="U172" t="s">
        <v>49</v>
      </c>
      <c r="V172" s="1">
        <v>40564</v>
      </c>
      <c r="X172" t="s">
        <v>13</v>
      </c>
      <c r="Y172" t="s">
        <v>12</v>
      </c>
      <c r="Z172" t="s">
        <v>24</v>
      </c>
      <c r="AA172" t="s">
        <v>143</v>
      </c>
      <c r="AB172">
        <v>6</v>
      </c>
      <c r="AC172" t="s">
        <v>46</v>
      </c>
      <c r="AD172" t="s">
        <v>29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25">
      <c r="A173" t="s">
        <v>255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41</v>
      </c>
      <c r="N173" t="s">
        <v>19</v>
      </c>
      <c r="O173">
        <v>2122</v>
      </c>
      <c r="P173" s="1">
        <v>28120</v>
      </c>
      <c r="Q173" t="s">
        <v>18</v>
      </c>
      <c r="R173" t="s">
        <v>17</v>
      </c>
      <c r="S173" t="s">
        <v>16</v>
      </c>
      <c r="T173" t="s">
        <v>15</v>
      </c>
      <c r="U173" t="s">
        <v>25</v>
      </c>
      <c r="V173" s="1">
        <v>41463</v>
      </c>
      <c r="W173" s="1">
        <v>42628</v>
      </c>
      <c r="X173" t="s">
        <v>187</v>
      </c>
      <c r="Y173" t="s">
        <v>36</v>
      </c>
      <c r="Z173" t="s">
        <v>11</v>
      </c>
      <c r="AA173" t="s">
        <v>78</v>
      </c>
      <c r="AB173">
        <v>22</v>
      </c>
      <c r="AC173" t="s">
        <v>9</v>
      </c>
      <c r="AD173" t="s">
        <v>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25">
      <c r="A174" t="s">
        <v>254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41</v>
      </c>
      <c r="N174" t="s">
        <v>19</v>
      </c>
      <c r="O174">
        <v>2324</v>
      </c>
      <c r="P174" s="1">
        <v>30038</v>
      </c>
      <c r="Q174" t="s">
        <v>18</v>
      </c>
      <c r="R174" t="s">
        <v>26</v>
      </c>
      <c r="S174" t="s">
        <v>16</v>
      </c>
      <c r="T174" t="s">
        <v>15</v>
      </c>
      <c r="U174" t="s">
        <v>49</v>
      </c>
      <c r="V174" s="1">
        <v>41505</v>
      </c>
      <c r="X174" t="s">
        <v>13</v>
      </c>
      <c r="Y174" t="s">
        <v>12</v>
      </c>
      <c r="Z174" t="s">
        <v>11</v>
      </c>
      <c r="AA174" t="s">
        <v>72</v>
      </c>
      <c r="AB174">
        <v>16</v>
      </c>
      <c r="AC174" t="s">
        <v>66</v>
      </c>
      <c r="AD174" t="s">
        <v>29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25">
      <c r="A175" t="s">
        <v>253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20</v>
      </c>
      <c r="N175" t="s">
        <v>19</v>
      </c>
      <c r="O175">
        <v>2122</v>
      </c>
      <c r="P175" s="1">
        <v>27689</v>
      </c>
      <c r="Q175" t="s">
        <v>18</v>
      </c>
      <c r="R175" t="s">
        <v>58</v>
      </c>
      <c r="S175" t="s">
        <v>16</v>
      </c>
      <c r="T175" t="s">
        <v>15</v>
      </c>
      <c r="U175" t="s">
        <v>49</v>
      </c>
      <c r="V175" s="1">
        <v>42051</v>
      </c>
      <c r="X175" t="s">
        <v>13</v>
      </c>
      <c r="Y175" t="s">
        <v>12</v>
      </c>
      <c r="Z175" t="s">
        <v>11</v>
      </c>
      <c r="AA175" t="s">
        <v>72</v>
      </c>
      <c r="AB175">
        <v>16</v>
      </c>
      <c r="AC175" t="s">
        <v>54</v>
      </c>
      <c r="AD175" t="s">
        <v>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25">
      <c r="A176" t="s">
        <v>252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20</v>
      </c>
      <c r="N176" t="s">
        <v>19</v>
      </c>
      <c r="O176">
        <v>1844</v>
      </c>
      <c r="P176" s="1">
        <v>26709</v>
      </c>
      <c r="Q176" t="s">
        <v>18</v>
      </c>
      <c r="R176" t="s">
        <v>26</v>
      </c>
      <c r="S176" t="s">
        <v>16</v>
      </c>
      <c r="T176" t="s">
        <v>50</v>
      </c>
      <c r="U176" t="s">
        <v>49</v>
      </c>
      <c r="V176" s="1">
        <v>40854</v>
      </c>
      <c r="W176" s="1">
        <v>42322</v>
      </c>
      <c r="X176" t="s">
        <v>37</v>
      </c>
      <c r="Y176" t="s">
        <v>36</v>
      </c>
      <c r="Z176" t="s">
        <v>11</v>
      </c>
      <c r="AA176" t="s">
        <v>60</v>
      </c>
      <c r="AB176">
        <v>39</v>
      </c>
      <c r="AC176" t="s">
        <v>46</v>
      </c>
      <c r="AD176" t="s">
        <v>29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25">
      <c r="A177" t="s">
        <v>251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20</v>
      </c>
      <c r="N177" t="s">
        <v>19</v>
      </c>
      <c r="O177">
        <v>1938</v>
      </c>
      <c r="P177" s="1">
        <v>26612</v>
      </c>
      <c r="Q177" t="s">
        <v>40</v>
      </c>
      <c r="R177" t="s">
        <v>17</v>
      </c>
      <c r="S177" t="s">
        <v>16</v>
      </c>
      <c r="T177" t="s">
        <v>15</v>
      </c>
      <c r="U177" t="s">
        <v>25</v>
      </c>
      <c r="V177" s="1">
        <v>41176</v>
      </c>
      <c r="W177" s="1">
        <v>43004</v>
      </c>
      <c r="X177" t="s">
        <v>61</v>
      </c>
      <c r="Y177" t="s">
        <v>36</v>
      </c>
      <c r="Z177" t="s">
        <v>11</v>
      </c>
      <c r="AA177" t="s">
        <v>55</v>
      </c>
      <c r="AB177">
        <v>11</v>
      </c>
      <c r="AC177" t="s">
        <v>66</v>
      </c>
      <c r="AD177" t="s">
        <v>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25">
      <c r="A178" t="s">
        <v>250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20</v>
      </c>
      <c r="N178" t="s">
        <v>19</v>
      </c>
      <c r="O178">
        <v>2189</v>
      </c>
      <c r="P178" s="1">
        <v>31600</v>
      </c>
      <c r="Q178" t="s">
        <v>18</v>
      </c>
      <c r="R178" t="s">
        <v>26</v>
      </c>
      <c r="S178" t="s">
        <v>16</v>
      </c>
      <c r="T178" t="s">
        <v>15</v>
      </c>
      <c r="U178" t="s">
        <v>25</v>
      </c>
      <c r="V178" s="1">
        <v>41645</v>
      </c>
      <c r="X178" t="s">
        <v>13</v>
      </c>
      <c r="Y178" t="s">
        <v>12</v>
      </c>
      <c r="Z178" t="s">
        <v>11</v>
      </c>
      <c r="AA178" t="s">
        <v>47</v>
      </c>
      <c r="AB178">
        <v>19</v>
      </c>
      <c r="AC178" t="s">
        <v>9</v>
      </c>
      <c r="AD178" t="s">
        <v>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25">
      <c r="A179" t="s">
        <v>249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41</v>
      </c>
      <c r="N179" t="s">
        <v>19</v>
      </c>
      <c r="O179">
        <v>2324</v>
      </c>
      <c r="P179" s="1">
        <v>27997</v>
      </c>
      <c r="Q179" t="s">
        <v>18</v>
      </c>
      <c r="R179" t="s">
        <v>58</v>
      </c>
      <c r="S179" t="s">
        <v>16</v>
      </c>
      <c r="T179" t="s">
        <v>15</v>
      </c>
      <c r="U179" t="s">
        <v>25</v>
      </c>
      <c r="V179" s="1">
        <v>42501</v>
      </c>
      <c r="X179" t="s">
        <v>13</v>
      </c>
      <c r="Y179" t="s">
        <v>12</v>
      </c>
      <c r="Z179" t="s">
        <v>11</v>
      </c>
      <c r="AA179" t="s">
        <v>60</v>
      </c>
      <c r="AC179" t="s">
        <v>9</v>
      </c>
      <c r="AD179" t="s">
        <v>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25">
      <c r="A180" t="s">
        <v>248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41</v>
      </c>
      <c r="N180" t="s">
        <v>19</v>
      </c>
      <c r="O180">
        <v>2176</v>
      </c>
      <c r="P180" s="1">
        <v>31756</v>
      </c>
      <c r="Q180" t="s">
        <v>18</v>
      </c>
      <c r="R180" t="s">
        <v>58</v>
      </c>
      <c r="S180" t="s">
        <v>16</v>
      </c>
      <c r="T180" t="s">
        <v>15</v>
      </c>
      <c r="U180" t="s">
        <v>95</v>
      </c>
      <c r="V180" s="1">
        <v>40729</v>
      </c>
      <c r="W180" s="1">
        <v>41140</v>
      </c>
      <c r="X180" t="s">
        <v>37</v>
      </c>
      <c r="Y180" t="s">
        <v>36</v>
      </c>
      <c r="Z180" t="s">
        <v>11</v>
      </c>
      <c r="AA180" t="s">
        <v>55</v>
      </c>
      <c r="AB180">
        <v>11</v>
      </c>
      <c r="AC180" t="s">
        <v>9</v>
      </c>
      <c r="AD180" t="s">
        <v>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25">
      <c r="A181" t="s">
        <v>247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20</v>
      </c>
      <c r="N181" t="s">
        <v>19</v>
      </c>
      <c r="O181">
        <v>2451</v>
      </c>
      <c r="P181" s="1">
        <v>27340</v>
      </c>
      <c r="Q181" t="s">
        <v>18</v>
      </c>
      <c r="R181" t="s">
        <v>58</v>
      </c>
      <c r="S181" t="s">
        <v>16</v>
      </c>
      <c r="T181" t="s">
        <v>15</v>
      </c>
      <c r="U181" t="s">
        <v>25</v>
      </c>
      <c r="V181" s="1">
        <v>41589</v>
      </c>
      <c r="X181" t="s">
        <v>13</v>
      </c>
      <c r="Y181" t="s">
        <v>12</v>
      </c>
      <c r="Z181" t="s">
        <v>11</v>
      </c>
      <c r="AA181" t="s">
        <v>35</v>
      </c>
      <c r="AB181">
        <v>12</v>
      </c>
      <c r="AC181" t="s">
        <v>9</v>
      </c>
      <c r="AD181" t="s">
        <v>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25">
      <c r="A182" t="s">
        <v>246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105</v>
      </c>
      <c r="N182" t="s">
        <v>19</v>
      </c>
      <c r="O182">
        <v>2135</v>
      </c>
      <c r="P182" s="1">
        <v>32088</v>
      </c>
      <c r="Q182" t="s">
        <v>18</v>
      </c>
      <c r="R182" t="s">
        <v>26</v>
      </c>
      <c r="S182" t="s">
        <v>16</v>
      </c>
      <c r="T182" t="s">
        <v>15</v>
      </c>
      <c r="U182" t="s">
        <v>14</v>
      </c>
      <c r="V182" s="1">
        <v>41589</v>
      </c>
      <c r="X182" t="s">
        <v>13</v>
      </c>
      <c r="Y182" t="s">
        <v>12</v>
      </c>
      <c r="Z182" t="s">
        <v>102</v>
      </c>
      <c r="AA182" t="s">
        <v>101</v>
      </c>
      <c r="AB182">
        <v>10</v>
      </c>
      <c r="AC182" t="s">
        <v>34</v>
      </c>
      <c r="AD182" t="s">
        <v>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25">
      <c r="A183" t="s">
        <v>245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20</v>
      </c>
      <c r="N183" t="s">
        <v>19</v>
      </c>
      <c r="O183">
        <v>2330</v>
      </c>
      <c r="P183" s="1">
        <v>28451</v>
      </c>
      <c r="Q183" t="s">
        <v>18</v>
      </c>
      <c r="R183" t="s">
        <v>58</v>
      </c>
      <c r="S183" t="s">
        <v>16</v>
      </c>
      <c r="T183" t="s">
        <v>15</v>
      </c>
      <c r="U183" t="s">
        <v>25</v>
      </c>
      <c r="V183" s="1">
        <v>40694</v>
      </c>
      <c r="X183" t="s">
        <v>13</v>
      </c>
      <c r="Y183" t="s">
        <v>12</v>
      </c>
      <c r="Z183" t="s">
        <v>11</v>
      </c>
      <c r="AA183" t="s">
        <v>10</v>
      </c>
      <c r="AB183">
        <v>14</v>
      </c>
      <c r="AC183" t="s">
        <v>66</v>
      </c>
      <c r="AD183" t="s">
        <v>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25">
      <c r="A184" t="s">
        <v>244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41</v>
      </c>
      <c r="N184" t="s">
        <v>19</v>
      </c>
      <c r="O184">
        <v>2149</v>
      </c>
      <c r="P184" s="1">
        <v>31918</v>
      </c>
      <c r="Q184" t="s">
        <v>18</v>
      </c>
      <c r="R184" t="s">
        <v>26</v>
      </c>
      <c r="S184" t="s">
        <v>16</v>
      </c>
      <c r="T184" t="s">
        <v>15</v>
      </c>
      <c r="U184" t="s">
        <v>49</v>
      </c>
      <c r="V184" s="1">
        <v>42093</v>
      </c>
      <c r="X184" t="s">
        <v>13</v>
      </c>
      <c r="Y184" t="s">
        <v>12</v>
      </c>
      <c r="Z184" t="s">
        <v>11</v>
      </c>
      <c r="AA184" t="s">
        <v>47</v>
      </c>
      <c r="AB184">
        <v>19</v>
      </c>
      <c r="AC184" t="s">
        <v>9</v>
      </c>
      <c r="AD184" t="s">
        <v>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25">
      <c r="A185" t="s">
        <v>243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20</v>
      </c>
      <c r="N185" t="s">
        <v>19</v>
      </c>
      <c r="O185">
        <v>2184</v>
      </c>
      <c r="P185" s="1">
        <v>31784</v>
      </c>
      <c r="Q185" t="s">
        <v>18</v>
      </c>
      <c r="R185" t="s">
        <v>58</v>
      </c>
      <c r="S185" t="s">
        <v>16</v>
      </c>
      <c r="T185" t="s">
        <v>15</v>
      </c>
      <c r="U185" t="s">
        <v>49</v>
      </c>
      <c r="V185" s="1">
        <v>41281</v>
      </c>
      <c r="X185" t="s">
        <v>13</v>
      </c>
      <c r="Y185" t="s">
        <v>12</v>
      </c>
      <c r="Z185" t="s">
        <v>11</v>
      </c>
      <c r="AA185" t="s">
        <v>39</v>
      </c>
      <c r="AB185">
        <v>20</v>
      </c>
      <c r="AC185" t="s">
        <v>71</v>
      </c>
      <c r="AD185" t="s">
        <v>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25">
      <c r="A186" t="s">
        <v>242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90</v>
      </c>
      <c r="N186" t="s">
        <v>241</v>
      </c>
      <c r="O186">
        <v>78789</v>
      </c>
      <c r="P186" s="1">
        <v>30864</v>
      </c>
      <c r="Q186" t="s">
        <v>40</v>
      </c>
      <c r="R186" t="s">
        <v>58</v>
      </c>
      <c r="S186" t="s">
        <v>16</v>
      </c>
      <c r="T186" t="s">
        <v>15</v>
      </c>
      <c r="U186" t="s">
        <v>95</v>
      </c>
      <c r="V186" s="1">
        <v>42557</v>
      </c>
      <c r="X186" t="s">
        <v>13</v>
      </c>
      <c r="Y186" t="s">
        <v>12</v>
      </c>
      <c r="Z186" t="s">
        <v>88</v>
      </c>
      <c r="AA186" t="s">
        <v>109</v>
      </c>
      <c r="AB186">
        <v>21</v>
      </c>
      <c r="AC186" t="s">
        <v>54</v>
      </c>
      <c r="AD186" t="s">
        <v>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25">
      <c r="A187" t="s">
        <v>240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20</v>
      </c>
      <c r="N187" t="s">
        <v>19</v>
      </c>
      <c r="O187">
        <v>1760</v>
      </c>
      <c r="P187" s="1">
        <v>24988</v>
      </c>
      <c r="Q187" t="s">
        <v>18</v>
      </c>
      <c r="R187" t="s">
        <v>26</v>
      </c>
      <c r="S187" t="s">
        <v>16</v>
      </c>
      <c r="T187" t="s">
        <v>15</v>
      </c>
      <c r="U187" t="s">
        <v>49</v>
      </c>
      <c r="V187" s="1">
        <v>41001</v>
      </c>
      <c r="W187" s="1">
        <v>42685</v>
      </c>
      <c r="X187" t="s">
        <v>37</v>
      </c>
      <c r="Y187" t="s">
        <v>36</v>
      </c>
      <c r="Z187" t="s">
        <v>11</v>
      </c>
      <c r="AA187" t="s">
        <v>80</v>
      </c>
      <c r="AB187">
        <v>18</v>
      </c>
      <c r="AC187" t="s">
        <v>46</v>
      </c>
      <c r="AD187" t="s">
        <v>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25">
      <c r="A188" t="s">
        <v>239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20</v>
      </c>
      <c r="N188" t="s">
        <v>19</v>
      </c>
      <c r="O188">
        <v>2346</v>
      </c>
      <c r="P188" s="1">
        <v>28025</v>
      </c>
      <c r="Q188" t="s">
        <v>18</v>
      </c>
      <c r="R188" t="s">
        <v>26</v>
      </c>
      <c r="S188" t="s">
        <v>16</v>
      </c>
      <c r="T188" t="s">
        <v>15</v>
      </c>
      <c r="U188" t="s">
        <v>25</v>
      </c>
      <c r="V188" s="1">
        <v>42093</v>
      </c>
      <c r="X188" t="s">
        <v>13</v>
      </c>
      <c r="Y188" t="s">
        <v>12</v>
      </c>
      <c r="Z188" t="s">
        <v>11</v>
      </c>
      <c r="AA188" t="s">
        <v>78</v>
      </c>
      <c r="AB188">
        <v>22</v>
      </c>
      <c r="AC188" t="s">
        <v>71</v>
      </c>
      <c r="AD188" t="s">
        <v>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25">
      <c r="A189" t="s">
        <v>238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75</v>
      </c>
      <c r="N189" t="s">
        <v>19</v>
      </c>
      <c r="O189">
        <v>2045</v>
      </c>
      <c r="P189" s="1">
        <v>29808</v>
      </c>
      <c r="Q189" t="s">
        <v>40</v>
      </c>
      <c r="R189" t="s">
        <v>26</v>
      </c>
      <c r="S189" t="s">
        <v>16</v>
      </c>
      <c r="T189" t="s">
        <v>237</v>
      </c>
      <c r="U189" t="s">
        <v>236</v>
      </c>
      <c r="V189" s="1">
        <v>41137</v>
      </c>
      <c r="X189" t="s">
        <v>13</v>
      </c>
      <c r="Y189" t="s">
        <v>12</v>
      </c>
      <c r="Z189" t="s">
        <v>11</v>
      </c>
      <c r="AA189" t="s">
        <v>30</v>
      </c>
      <c r="AB189">
        <v>2</v>
      </c>
      <c r="AC189" t="s">
        <v>66</v>
      </c>
      <c r="AD189" t="s">
        <v>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25">
      <c r="A190" t="s">
        <v>235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41</v>
      </c>
      <c r="N190" t="s">
        <v>19</v>
      </c>
      <c r="O190">
        <v>2472</v>
      </c>
      <c r="P190" s="1">
        <v>31227</v>
      </c>
      <c r="Q190" t="s">
        <v>40</v>
      </c>
      <c r="R190" t="s">
        <v>26</v>
      </c>
      <c r="S190" t="s">
        <v>16</v>
      </c>
      <c r="T190" t="s">
        <v>15</v>
      </c>
      <c r="U190" t="s">
        <v>25</v>
      </c>
      <c r="V190" s="1">
        <v>40770</v>
      </c>
      <c r="W190" s="1">
        <v>41886</v>
      </c>
      <c r="X190" t="s">
        <v>56</v>
      </c>
      <c r="Y190" t="s">
        <v>36</v>
      </c>
      <c r="Z190" t="s">
        <v>11</v>
      </c>
      <c r="AA190" t="s">
        <v>35</v>
      </c>
      <c r="AB190">
        <v>12</v>
      </c>
      <c r="AC190" t="s">
        <v>9</v>
      </c>
      <c r="AD190" t="s">
        <v>33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25">
      <c r="A191" t="s">
        <v>234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41</v>
      </c>
      <c r="N191" t="s">
        <v>19</v>
      </c>
      <c r="O191">
        <v>1450</v>
      </c>
      <c r="P191" s="1">
        <v>33833</v>
      </c>
      <c r="Q191" t="s">
        <v>40</v>
      </c>
      <c r="R191" t="s">
        <v>58</v>
      </c>
      <c r="S191" t="s">
        <v>16</v>
      </c>
      <c r="T191" t="s">
        <v>15</v>
      </c>
      <c r="U191" t="s">
        <v>25</v>
      </c>
      <c r="V191" s="1">
        <v>40854</v>
      </c>
      <c r="X191" t="s">
        <v>13</v>
      </c>
      <c r="Y191" t="s">
        <v>12</v>
      </c>
      <c r="Z191" t="s">
        <v>11</v>
      </c>
      <c r="AA191" t="s">
        <v>10</v>
      </c>
      <c r="AB191">
        <v>14</v>
      </c>
      <c r="AC191" t="s">
        <v>9</v>
      </c>
      <c r="AD191" t="s">
        <v>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25">
      <c r="A192" t="s">
        <v>233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232</v>
      </c>
      <c r="N192" t="s">
        <v>19</v>
      </c>
      <c r="O192">
        <v>2134</v>
      </c>
      <c r="P192" s="1">
        <v>31690</v>
      </c>
      <c r="Q192" t="s">
        <v>40</v>
      </c>
      <c r="R192" t="s">
        <v>58</v>
      </c>
      <c r="S192" t="s">
        <v>57</v>
      </c>
      <c r="T192" t="s">
        <v>50</v>
      </c>
      <c r="U192" t="s">
        <v>49</v>
      </c>
      <c r="V192" s="1">
        <v>40954</v>
      </c>
      <c r="X192" t="s">
        <v>13</v>
      </c>
      <c r="Y192" t="s">
        <v>12</v>
      </c>
      <c r="Z192" t="s">
        <v>24</v>
      </c>
      <c r="AA192" t="s">
        <v>166</v>
      </c>
      <c r="AB192">
        <v>5</v>
      </c>
      <c r="AC192" t="s">
        <v>46</v>
      </c>
      <c r="AD192" t="s">
        <v>70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25">
      <c r="A193" t="s">
        <v>231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41</v>
      </c>
      <c r="N193" t="s">
        <v>19</v>
      </c>
      <c r="O193">
        <v>2126</v>
      </c>
      <c r="P193" s="1">
        <v>25682</v>
      </c>
      <c r="Q193" t="s">
        <v>18</v>
      </c>
      <c r="R193" t="s">
        <v>26</v>
      </c>
      <c r="S193" t="s">
        <v>16</v>
      </c>
      <c r="T193" t="s">
        <v>15</v>
      </c>
      <c r="U193" t="s">
        <v>49</v>
      </c>
      <c r="V193" s="1">
        <v>41407</v>
      </c>
      <c r="X193" t="s">
        <v>13</v>
      </c>
      <c r="Y193" t="s">
        <v>12</v>
      </c>
      <c r="Z193" t="s">
        <v>11</v>
      </c>
      <c r="AA193" t="s">
        <v>39</v>
      </c>
      <c r="AB193">
        <v>20</v>
      </c>
      <c r="AC193" t="s">
        <v>66</v>
      </c>
      <c r="AD193" t="s">
        <v>29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25">
      <c r="A194" t="s">
        <v>230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41</v>
      </c>
      <c r="N194" t="s">
        <v>19</v>
      </c>
      <c r="O194">
        <v>2127</v>
      </c>
      <c r="P194" s="1">
        <v>28097</v>
      </c>
      <c r="Q194" t="s">
        <v>40</v>
      </c>
      <c r="R194" t="s">
        <v>26</v>
      </c>
      <c r="S194" t="s">
        <v>16</v>
      </c>
      <c r="T194" t="s">
        <v>15</v>
      </c>
      <c r="U194" t="s">
        <v>49</v>
      </c>
      <c r="V194" s="1">
        <v>40917</v>
      </c>
      <c r="X194" t="s">
        <v>13</v>
      </c>
      <c r="Y194" t="s">
        <v>12</v>
      </c>
      <c r="Z194" t="s">
        <v>11</v>
      </c>
      <c r="AA194" t="s">
        <v>80</v>
      </c>
      <c r="AB194">
        <v>18</v>
      </c>
      <c r="AC194" t="s">
        <v>46</v>
      </c>
      <c r="AD194" t="s">
        <v>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25">
      <c r="A195" t="s">
        <v>229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98</v>
      </c>
      <c r="N195" t="s">
        <v>19</v>
      </c>
      <c r="O195">
        <v>2048</v>
      </c>
      <c r="P195" s="1">
        <v>28949</v>
      </c>
      <c r="Q195" t="s">
        <v>18</v>
      </c>
      <c r="R195" t="s">
        <v>58</v>
      </c>
      <c r="S195" t="s">
        <v>16</v>
      </c>
      <c r="T195" t="s">
        <v>15</v>
      </c>
      <c r="U195" t="s">
        <v>25</v>
      </c>
      <c r="V195" s="1">
        <v>42051</v>
      </c>
      <c r="X195" t="s">
        <v>13</v>
      </c>
      <c r="Y195" t="s">
        <v>12</v>
      </c>
      <c r="Z195" t="s">
        <v>24</v>
      </c>
      <c r="AA195" t="s">
        <v>63</v>
      </c>
      <c r="AB195">
        <v>7</v>
      </c>
      <c r="AC195" t="s">
        <v>71</v>
      </c>
      <c r="AD195" t="s">
        <v>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25">
      <c r="A196" t="s">
        <v>228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20</v>
      </c>
      <c r="N196" t="s">
        <v>19</v>
      </c>
      <c r="O196">
        <v>2453</v>
      </c>
      <c r="P196" s="1">
        <v>30870</v>
      </c>
      <c r="Q196" t="s">
        <v>18</v>
      </c>
      <c r="R196" t="s">
        <v>52</v>
      </c>
      <c r="S196" t="s">
        <v>16</v>
      </c>
      <c r="T196" t="s">
        <v>15</v>
      </c>
      <c r="U196" t="s">
        <v>25</v>
      </c>
      <c r="V196" s="1">
        <v>41365</v>
      </c>
      <c r="X196" t="s">
        <v>13</v>
      </c>
      <c r="Y196" t="s">
        <v>12</v>
      </c>
      <c r="Z196" t="s">
        <v>11</v>
      </c>
      <c r="AA196" t="s">
        <v>72</v>
      </c>
      <c r="AB196">
        <v>16</v>
      </c>
      <c r="AC196" t="s">
        <v>9</v>
      </c>
      <c r="AD196" t="s">
        <v>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25">
      <c r="A197" t="s">
        <v>227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41</v>
      </c>
      <c r="N197" t="s">
        <v>19</v>
      </c>
      <c r="O197">
        <v>1460</v>
      </c>
      <c r="P197" s="1">
        <v>27364</v>
      </c>
      <c r="Q197" t="s">
        <v>40</v>
      </c>
      <c r="R197" t="s">
        <v>110</v>
      </c>
      <c r="S197" t="s">
        <v>16</v>
      </c>
      <c r="T197" t="s">
        <v>15</v>
      </c>
      <c r="U197" t="s">
        <v>49</v>
      </c>
      <c r="V197" s="1">
        <v>41407</v>
      </c>
      <c r="X197" t="s">
        <v>13</v>
      </c>
      <c r="Y197" t="s">
        <v>12</v>
      </c>
      <c r="Z197" t="s">
        <v>11</v>
      </c>
      <c r="AA197" t="s">
        <v>78</v>
      </c>
      <c r="AB197">
        <v>22</v>
      </c>
      <c r="AC197" t="s">
        <v>9</v>
      </c>
      <c r="AD197" t="s">
        <v>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25">
      <c r="A198" t="s">
        <v>226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20</v>
      </c>
      <c r="N198" t="s">
        <v>19</v>
      </c>
      <c r="O198">
        <v>1550</v>
      </c>
      <c r="P198" s="1">
        <v>29329</v>
      </c>
      <c r="Q198" t="s">
        <v>40</v>
      </c>
      <c r="R198" t="s">
        <v>26</v>
      </c>
      <c r="S198" t="s">
        <v>16</v>
      </c>
      <c r="T198" t="s">
        <v>15</v>
      </c>
      <c r="U198" t="s">
        <v>14</v>
      </c>
      <c r="V198" s="1">
        <v>41463</v>
      </c>
      <c r="X198" t="s">
        <v>13</v>
      </c>
      <c r="Y198" t="s">
        <v>12</v>
      </c>
      <c r="Z198" t="s">
        <v>11</v>
      </c>
      <c r="AA198" t="s">
        <v>39</v>
      </c>
      <c r="AB198">
        <v>20</v>
      </c>
      <c r="AC198" t="s">
        <v>9</v>
      </c>
      <c r="AD198" t="s">
        <v>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25">
      <c r="A199" t="s">
        <v>225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68</v>
      </c>
      <c r="N199" t="s">
        <v>19</v>
      </c>
      <c r="O199">
        <v>2056</v>
      </c>
      <c r="P199" s="1">
        <v>25683</v>
      </c>
      <c r="Q199" t="s">
        <v>40</v>
      </c>
      <c r="R199" t="s">
        <v>26</v>
      </c>
      <c r="S199" t="s">
        <v>16</v>
      </c>
      <c r="T199" t="s">
        <v>15</v>
      </c>
      <c r="U199" t="s">
        <v>14</v>
      </c>
      <c r="V199" s="1">
        <v>42776</v>
      </c>
      <c r="X199" t="s">
        <v>13</v>
      </c>
      <c r="Y199" t="s">
        <v>12</v>
      </c>
      <c r="Z199" t="s">
        <v>24</v>
      </c>
      <c r="AA199" t="s">
        <v>67</v>
      </c>
      <c r="AB199">
        <v>13</v>
      </c>
      <c r="AC199" t="s">
        <v>66</v>
      </c>
      <c r="AD199" t="s">
        <v>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25">
      <c r="A200" t="s">
        <v>224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20</v>
      </c>
      <c r="N200" t="s">
        <v>19</v>
      </c>
      <c r="O200">
        <v>2110</v>
      </c>
      <c r="P200" s="1">
        <v>32630</v>
      </c>
      <c r="Q200" t="s">
        <v>40</v>
      </c>
      <c r="R200" t="s">
        <v>26</v>
      </c>
      <c r="S200" t="s">
        <v>16</v>
      </c>
      <c r="T200" t="s">
        <v>15</v>
      </c>
      <c r="U200" t="s">
        <v>49</v>
      </c>
      <c r="V200" s="1">
        <v>40812</v>
      </c>
      <c r="W200" s="1">
        <v>41733</v>
      </c>
      <c r="X200" t="s">
        <v>117</v>
      </c>
      <c r="Y200" t="s">
        <v>36</v>
      </c>
      <c r="Z200" t="s">
        <v>11</v>
      </c>
      <c r="AA200" t="s">
        <v>60</v>
      </c>
      <c r="AB200">
        <v>39</v>
      </c>
      <c r="AC200" t="s">
        <v>46</v>
      </c>
      <c r="AD200" t="s">
        <v>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25">
      <c r="A201" t="s">
        <v>223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20</v>
      </c>
      <c r="N201" t="s">
        <v>19</v>
      </c>
      <c r="O201">
        <v>2421</v>
      </c>
      <c r="P201" s="1">
        <v>30403</v>
      </c>
      <c r="Q201" t="s">
        <v>40</v>
      </c>
      <c r="R201" t="s">
        <v>58</v>
      </c>
      <c r="S201" t="s">
        <v>16</v>
      </c>
      <c r="T201" t="s">
        <v>15</v>
      </c>
      <c r="U201" t="s">
        <v>25</v>
      </c>
      <c r="V201" s="1">
        <v>41365</v>
      </c>
      <c r="W201" s="1">
        <v>42515</v>
      </c>
      <c r="X201" t="s">
        <v>187</v>
      </c>
      <c r="Y201" t="s">
        <v>36</v>
      </c>
      <c r="Z201" t="s">
        <v>11</v>
      </c>
      <c r="AA201" t="s">
        <v>55</v>
      </c>
      <c r="AB201">
        <v>11</v>
      </c>
      <c r="AC201" t="s">
        <v>22</v>
      </c>
      <c r="AD201" t="s">
        <v>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25">
      <c r="A202" t="s">
        <v>222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20</v>
      </c>
      <c r="N202" t="s">
        <v>19</v>
      </c>
      <c r="O202">
        <v>2136</v>
      </c>
      <c r="P202" s="1">
        <v>28223</v>
      </c>
      <c r="Q202" t="s">
        <v>40</v>
      </c>
      <c r="R202" t="s">
        <v>58</v>
      </c>
      <c r="S202" t="s">
        <v>16</v>
      </c>
      <c r="T202" t="s">
        <v>15</v>
      </c>
      <c r="U202" t="s">
        <v>25</v>
      </c>
      <c r="V202" s="1">
        <v>41771</v>
      </c>
      <c r="X202" t="s">
        <v>13</v>
      </c>
      <c r="Y202" t="s">
        <v>12</v>
      </c>
      <c r="Z202" t="s">
        <v>11</v>
      </c>
      <c r="AA202" t="s">
        <v>47</v>
      </c>
      <c r="AB202">
        <v>19</v>
      </c>
      <c r="AC202" t="s">
        <v>9</v>
      </c>
      <c r="AD202" t="s">
        <v>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25">
      <c r="A203" t="s">
        <v>221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20</v>
      </c>
      <c r="N203" t="s">
        <v>19</v>
      </c>
      <c r="O203">
        <v>1810</v>
      </c>
      <c r="P203" s="1">
        <v>24626</v>
      </c>
      <c r="Q203" t="s">
        <v>18</v>
      </c>
      <c r="R203" t="s">
        <v>110</v>
      </c>
      <c r="S203" t="s">
        <v>16</v>
      </c>
      <c r="T203" t="s">
        <v>15</v>
      </c>
      <c r="U203" t="s">
        <v>49</v>
      </c>
      <c r="V203" s="1">
        <v>41365</v>
      </c>
      <c r="X203" t="s">
        <v>13</v>
      </c>
      <c r="Y203" t="s">
        <v>12</v>
      </c>
      <c r="Z203" t="s">
        <v>11</v>
      </c>
      <c r="AA203" t="s">
        <v>35</v>
      </c>
      <c r="AB203">
        <v>12</v>
      </c>
      <c r="AC203" t="s">
        <v>46</v>
      </c>
      <c r="AD203" t="s">
        <v>29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25">
      <c r="A204" t="s">
        <v>220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90</v>
      </c>
      <c r="N204" t="s">
        <v>219</v>
      </c>
      <c r="O204">
        <v>30428</v>
      </c>
      <c r="P204" s="1">
        <v>32598</v>
      </c>
      <c r="Q204" t="s">
        <v>18</v>
      </c>
      <c r="R204" t="s">
        <v>26</v>
      </c>
      <c r="S204" t="s">
        <v>16</v>
      </c>
      <c r="T204" t="s">
        <v>15</v>
      </c>
      <c r="U204" t="s">
        <v>95</v>
      </c>
      <c r="V204" s="1">
        <v>41463</v>
      </c>
      <c r="X204" t="s">
        <v>13</v>
      </c>
      <c r="Y204" t="s">
        <v>12</v>
      </c>
      <c r="Z204" t="s">
        <v>88</v>
      </c>
      <c r="AA204" t="s">
        <v>109</v>
      </c>
      <c r="AB204">
        <v>21</v>
      </c>
      <c r="AC204" t="s">
        <v>66</v>
      </c>
      <c r="AD204" t="s">
        <v>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25">
      <c r="A205" t="s">
        <v>218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20</v>
      </c>
      <c r="N205" t="s">
        <v>19</v>
      </c>
      <c r="O205">
        <v>2132</v>
      </c>
      <c r="P205" s="1">
        <v>30870</v>
      </c>
      <c r="Q205" t="s">
        <v>18</v>
      </c>
      <c r="R205" t="s">
        <v>26</v>
      </c>
      <c r="S205" t="s">
        <v>16</v>
      </c>
      <c r="T205" t="s">
        <v>15</v>
      </c>
      <c r="U205" t="s">
        <v>25</v>
      </c>
      <c r="V205" s="1">
        <v>41463</v>
      </c>
      <c r="X205" t="s">
        <v>13</v>
      </c>
      <c r="Y205" t="s">
        <v>12</v>
      </c>
      <c r="Z205" t="s">
        <v>11</v>
      </c>
      <c r="AA205" t="s">
        <v>10</v>
      </c>
      <c r="AB205">
        <v>14</v>
      </c>
      <c r="AC205" t="s">
        <v>9</v>
      </c>
      <c r="AD205" t="s">
        <v>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25">
      <c r="A206" t="s">
        <v>217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41</v>
      </c>
      <c r="N206" t="s">
        <v>19</v>
      </c>
      <c r="O206">
        <v>1040</v>
      </c>
      <c r="P206" s="1">
        <v>31374</v>
      </c>
      <c r="Q206" t="s">
        <v>18</v>
      </c>
      <c r="R206" t="s">
        <v>26</v>
      </c>
      <c r="S206" t="s">
        <v>16</v>
      </c>
      <c r="T206" t="s">
        <v>15</v>
      </c>
      <c r="U206" t="s">
        <v>25</v>
      </c>
      <c r="V206" s="1">
        <v>41953</v>
      </c>
      <c r="X206" t="s">
        <v>13</v>
      </c>
      <c r="Y206" t="s">
        <v>12</v>
      </c>
      <c r="Z206" t="s">
        <v>11</v>
      </c>
      <c r="AA206" t="s">
        <v>72</v>
      </c>
      <c r="AB206">
        <v>16</v>
      </c>
      <c r="AC206" t="s">
        <v>66</v>
      </c>
      <c r="AD206" t="s">
        <v>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25">
      <c r="A207" t="s">
        <v>216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20</v>
      </c>
      <c r="N207" t="s">
        <v>19</v>
      </c>
      <c r="O207">
        <v>2152</v>
      </c>
      <c r="P207" s="1">
        <v>29494</v>
      </c>
      <c r="Q207" t="s">
        <v>18</v>
      </c>
      <c r="R207" t="s">
        <v>26</v>
      </c>
      <c r="S207" t="s">
        <v>16</v>
      </c>
      <c r="T207" t="s">
        <v>15</v>
      </c>
      <c r="U207" t="s">
        <v>95</v>
      </c>
      <c r="V207" s="1">
        <v>41729</v>
      </c>
      <c r="W207" s="1">
        <v>43221</v>
      </c>
      <c r="X207" t="s">
        <v>205</v>
      </c>
      <c r="Y207" t="s">
        <v>81</v>
      </c>
      <c r="Z207" t="s">
        <v>11</v>
      </c>
      <c r="AA207" t="s">
        <v>39</v>
      </c>
      <c r="AB207">
        <v>20</v>
      </c>
      <c r="AC207" t="s">
        <v>9</v>
      </c>
      <c r="AD207" t="s">
        <v>33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25">
      <c r="A208" t="s">
        <v>215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41</v>
      </c>
      <c r="N208" t="s">
        <v>19</v>
      </c>
      <c r="O208">
        <v>2492</v>
      </c>
      <c r="P208" s="1">
        <v>19035</v>
      </c>
      <c r="Q208" t="s">
        <v>18</v>
      </c>
      <c r="R208" t="s">
        <v>58</v>
      </c>
      <c r="S208" t="s">
        <v>16</v>
      </c>
      <c r="T208" t="s">
        <v>15</v>
      </c>
      <c r="U208" t="s">
        <v>14</v>
      </c>
      <c r="V208" s="1">
        <v>41043</v>
      </c>
      <c r="W208" s="1">
        <v>41505</v>
      </c>
      <c r="X208" t="s">
        <v>56</v>
      </c>
      <c r="Y208" t="s">
        <v>36</v>
      </c>
      <c r="Z208" t="s">
        <v>11</v>
      </c>
      <c r="AA208" t="s">
        <v>60</v>
      </c>
      <c r="AB208">
        <v>39</v>
      </c>
      <c r="AC208" t="s">
        <v>9</v>
      </c>
      <c r="AD208" t="s">
        <v>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25">
      <c r="A209" t="s">
        <v>214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90</v>
      </c>
      <c r="N209" t="s">
        <v>213</v>
      </c>
      <c r="O209">
        <v>33174</v>
      </c>
      <c r="P209" s="1">
        <v>33004</v>
      </c>
      <c r="Q209" t="s">
        <v>18</v>
      </c>
      <c r="R209" t="s">
        <v>26</v>
      </c>
      <c r="S209" t="s">
        <v>16</v>
      </c>
      <c r="T209" t="s">
        <v>50</v>
      </c>
      <c r="U209" t="s">
        <v>25</v>
      </c>
      <c r="V209" s="1">
        <v>41547</v>
      </c>
      <c r="X209" t="s">
        <v>13</v>
      </c>
      <c r="Y209" t="s">
        <v>12</v>
      </c>
      <c r="Z209" t="s">
        <v>88</v>
      </c>
      <c r="AA209" t="s">
        <v>109</v>
      </c>
      <c r="AB209">
        <v>21</v>
      </c>
      <c r="AC209" t="s">
        <v>66</v>
      </c>
      <c r="AD209" t="s">
        <v>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25">
      <c r="A210" t="s">
        <v>212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20</v>
      </c>
      <c r="N210" t="s">
        <v>19</v>
      </c>
      <c r="O210">
        <v>2478</v>
      </c>
      <c r="P210" s="1">
        <v>28105</v>
      </c>
      <c r="Q210" t="s">
        <v>40</v>
      </c>
      <c r="R210" t="s">
        <v>58</v>
      </c>
      <c r="S210" t="s">
        <v>16</v>
      </c>
      <c r="T210" t="s">
        <v>15</v>
      </c>
      <c r="U210" t="s">
        <v>25</v>
      </c>
      <c r="V210" s="1">
        <v>41547</v>
      </c>
      <c r="X210" t="s">
        <v>13</v>
      </c>
      <c r="Y210" t="s">
        <v>12</v>
      </c>
      <c r="Z210" t="s">
        <v>11</v>
      </c>
      <c r="AA210" t="s">
        <v>80</v>
      </c>
      <c r="AB210">
        <v>18</v>
      </c>
      <c r="AC210" t="s">
        <v>9</v>
      </c>
      <c r="AD210" t="s">
        <v>29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25">
      <c r="A211" t="s">
        <v>211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20</v>
      </c>
      <c r="N211" t="s">
        <v>19</v>
      </c>
      <c r="O211">
        <v>1760</v>
      </c>
      <c r="P211" s="1">
        <v>29183</v>
      </c>
      <c r="Q211" t="s">
        <v>40</v>
      </c>
      <c r="R211" t="s">
        <v>26</v>
      </c>
      <c r="S211" t="s">
        <v>16</v>
      </c>
      <c r="T211" t="s">
        <v>15</v>
      </c>
      <c r="U211" t="s">
        <v>49</v>
      </c>
      <c r="V211" s="1">
        <v>41687</v>
      </c>
      <c r="X211" t="s">
        <v>13</v>
      </c>
      <c r="Y211" t="s">
        <v>12</v>
      </c>
      <c r="Z211" t="s">
        <v>11</v>
      </c>
      <c r="AA211" t="s">
        <v>78</v>
      </c>
      <c r="AB211">
        <v>22</v>
      </c>
      <c r="AC211" t="s">
        <v>9</v>
      </c>
      <c r="AD211" t="s">
        <v>70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25">
      <c r="A212" t="s">
        <v>210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90</v>
      </c>
      <c r="N212" t="s">
        <v>209</v>
      </c>
      <c r="O212">
        <v>27229</v>
      </c>
      <c r="P212" s="1">
        <v>30090</v>
      </c>
      <c r="Q212" t="s">
        <v>40</v>
      </c>
      <c r="R212" t="s">
        <v>26</v>
      </c>
      <c r="S212" t="s">
        <v>16</v>
      </c>
      <c r="T212" t="s">
        <v>15</v>
      </c>
      <c r="U212" t="s">
        <v>25</v>
      </c>
      <c r="V212" s="1">
        <v>42009</v>
      </c>
      <c r="X212" t="s">
        <v>13</v>
      </c>
      <c r="Y212" t="s">
        <v>12</v>
      </c>
      <c r="Z212" t="s">
        <v>88</v>
      </c>
      <c r="AA212" t="s">
        <v>87</v>
      </c>
      <c r="AB212">
        <v>17</v>
      </c>
      <c r="AC212" t="s">
        <v>54</v>
      </c>
      <c r="AD212" t="s">
        <v>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25">
      <c r="A213" t="s">
        <v>208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20</v>
      </c>
      <c r="N213" t="s">
        <v>19</v>
      </c>
      <c r="O213">
        <v>2351</v>
      </c>
      <c r="P213" s="1">
        <v>28976</v>
      </c>
      <c r="Q213" t="s">
        <v>18</v>
      </c>
      <c r="R213" t="s">
        <v>58</v>
      </c>
      <c r="S213" t="s">
        <v>16</v>
      </c>
      <c r="T213" t="s">
        <v>15</v>
      </c>
      <c r="U213" t="s">
        <v>25</v>
      </c>
      <c r="V213" s="1">
        <v>40581</v>
      </c>
      <c r="W213" s="1">
        <v>41651</v>
      </c>
      <c r="X213" t="s">
        <v>37</v>
      </c>
      <c r="Y213" t="s">
        <v>36</v>
      </c>
      <c r="Z213" t="s">
        <v>11</v>
      </c>
      <c r="AA213" t="s">
        <v>72</v>
      </c>
      <c r="AB213">
        <v>16</v>
      </c>
      <c r="AC213" t="s">
        <v>34</v>
      </c>
      <c r="AD213" t="s">
        <v>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25">
      <c r="A214" t="s">
        <v>207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105</v>
      </c>
      <c r="N214" t="s">
        <v>19</v>
      </c>
      <c r="O214">
        <v>1844</v>
      </c>
      <c r="P214" s="1">
        <v>28906</v>
      </c>
      <c r="Q214" t="s">
        <v>40</v>
      </c>
      <c r="R214" t="s">
        <v>26</v>
      </c>
      <c r="S214" t="s">
        <v>16</v>
      </c>
      <c r="T214" t="s">
        <v>15</v>
      </c>
      <c r="U214" t="s">
        <v>49</v>
      </c>
      <c r="V214" s="1">
        <v>40854</v>
      </c>
      <c r="W214" s="1">
        <v>42254</v>
      </c>
      <c r="X214" t="s">
        <v>37</v>
      </c>
      <c r="Y214" t="s">
        <v>36</v>
      </c>
      <c r="Z214" t="s">
        <v>102</v>
      </c>
      <c r="AA214" t="s">
        <v>101</v>
      </c>
      <c r="AB214">
        <v>10</v>
      </c>
      <c r="AC214" t="s">
        <v>46</v>
      </c>
      <c r="AD214" t="s">
        <v>29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25">
      <c r="A215" t="s">
        <v>206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27</v>
      </c>
      <c r="N215" t="s">
        <v>19</v>
      </c>
      <c r="O215">
        <v>2747</v>
      </c>
      <c r="P215" s="1">
        <v>30930</v>
      </c>
      <c r="Q215" t="s">
        <v>40</v>
      </c>
      <c r="R215" t="s">
        <v>58</v>
      </c>
      <c r="S215" t="s">
        <v>16</v>
      </c>
      <c r="T215" t="s">
        <v>15</v>
      </c>
      <c r="U215" t="s">
        <v>25</v>
      </c>
      <c r="V215" s="1">
        <v>41974</v>
      </c>
      <c r="W215" s="1">
        <v>42491</v>
      </c>
      <c r="X215" t="s">
        <v>205</v>
      </c>
      <c r="Y215" t="s">
        <v>36</v>
      </c>
      <c r="Z215" t="s">
        <v>24</v>
      </c>
      <c r="AA215" t="s">
        <v>23</v>
      </c>
      <c r="AB215">
        <v>4</v>
      </c>
      <c r="AC215" t="s">
        <v>22</v>
      </c>
      <c r="AD215" t="s">
        <v>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25">
      <c r="A216" t="s">
        <v>204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20</v>
      </c>
      <c r="N216" t="s">
        <v>19</v>
      </c>
      <c r="O216">
        <v>2458</v>
      </c>
      <c r="P216" s="1">
        <v>32219</v>
      </c>
      <c r="Q216" t="s">
        <v>40</v>
      </c>
      <c r="R216" t="s">
        <v>26</v>
      </c>
      <c r="S216" t="s">
        <v>16</v>
      </c>
      <c r="T216" t="s">
        <v>15</v>
      </c>
      <c r="U216" t="s">
        <v>49</v>
      </c>
      <c r="V216" s="1">
        <v>40553</v>
      </c>
      <c r="W216" s="1">
        <v>43097</v>
      </c>
      <c r="X216" t="s">
        <v>73</v>
      </c>
      <c r="Y216" t="s">
        <v>36</v>
      </c>
      <c r="Z216" t="s">
        <v>11</v>
      </c>
      <c r="AA216" t="s">
        <v>60</v>
      </c>
      <c r="AB216">
        <v>39</v>
      </c>
      <c r="AC216" t="s">
        <v>34</v>
      </c>
      <c r="AD216" t="s">
        <v>70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25">
      <c r="A217" t="s">
        <v>203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41</v>
      </c>
      <c r="N217" t="s">
        <v>19</v>
      </c>
      <c r="O217">
        <v>2472</v>
      </c>
      <c r="P217" s="1">
        <v>32707</v>
      </c>
      <c r="Q217" t="s">
        <v>18</v>
      </c>
      <c r="R217" t="s">
        <v>58</v>
      </c>
      <c r="S217" t="s">
        <v>16</v>
      </c>
      <c r="T217" t="s">
        <v>15</v>
      </c>
      <c r="U217" t="s">
        <v>14</v>
      </c>
      <c r="V217" s="1">
        <v>40729</v>
      </c>
      <c r="W217" s="1">
        <v>42262</v>
      </c>
      <c r="X217" t="s">
        <v>56</v>
      </c>
      <c r="Y217" t="s">
        <v>36</v>
      </c>
      <c r="Z217" t="s">
        <v>11</v>
      </c>
      <c r="AA217" t="s">
        <v>55</v>
      </c>
      <c r="AB217">
        <v>11</v>
      </c>
      <c r="AC217" t="s">
        <v>71</v>
      </c>
      <c r="AD217" t="s">
        <v>70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25">
      <c r="A218" t="s">
        <v>202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20</v>
      </c>
      <c r="N218" t="s">
        <v>19</v>
      </c>
      <c r="O218">
        <v>2176</v>
      </c>
      <c r="P218" s="1">
        <v>31613</v>
      </c>
      <c r="Q218" t="s">
        <v>18</v>
      </c>
      <c r="R218" t="s">
        <v>26</v>
      </c>
      <c r="S218" t="s">
        <v>16</v>
      </c>
      <c r="T218" t="s">
        <v>15</v>
      </c>
      <c r="U218" t="s">
        <v>25</v>
      </c>
      <c r="V218" s="1">
        <v>40679</v>
      </c>
      <c r="W218" s="1">
        <v>42302</v>
      </c>
      <c r="X218" t="s">
        <v>103</v>
      </c>
      <c r="Y218" t="s">
        <v>36</v>
      </c>
      <c r="Z218" t="s">
        <v>11</v>
      </c>
      <c r="AA218" t="s">
        <v>55</v>
      </c>
      <c r="AB218">
        <v>11</v>
      </c>
      <c r="AC218" t="s">
        <v>9</v>
      </c>
      <c r="AD218" t="s">
        <v>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25">
      <c r="A219" t="s">
        <v>201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41</v>
      </c>
      <c r="N219" t="s">
        <v>19</v>
      </c>
      <c r="O219">
        <v>1886</v>
      </c>
      <c r="P219" s="1">
        <v>31641</v>
      </c>
      <c r="Q219" t="s">
        <v>18</v>
      </c>
      <c r="R219" t="s">
        <v>58</v>
      </c>
      <c r="S219" t="s">
        <v>16</v>
      </c>
      <c r="T219" t="s">
        <v>15</v>
      </c>
      <c r="U219" t="s">
        <v>25</v>
      </c>
      <c r="V219" s="1">
        <v>40679</v>
      </c>
      <c r="W219" s="1">
        <v>41309</v>
      </c>
      <c r="X219" t="s">
        <v>187</v>
      </c>
      <c r="Y219" t="s">
        <v>36</v>
      </c>
      <c r="Z219" t="s">
        <v>11</v>
      </c>
      <c r="AA219" t="s">
        <v>47</v>
      </c>
      <c r="AB219">
        <v>19</v>
      </c>
      <c r="AC219" t="s">
        <v>66</v>
      </c>
      <c r="AD219" t="s">
        <v>29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25">
      <c r="A220" t="s">
        <v>200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75</v>
      </c>
      <c r="N220" t="s">
        <v>19</v>
      </c>
      <c r="O220">
        <v>2030</v>
      </c>
      <c r="P220" s="1">
        <v>28254</v>
      </c>
      <c r="Q220" t="s">
        <v>18</v>
      </c>
      <c r="R220" t="s">
        <v>58</v>
      </c>
      <c r="S220" t="s">
        <v>16</v>
      </c>
      <c r="T220" t="s">
        <v>15</v>
      </c>
      <c r="U220" t="s">
        <v>25</v>
      </c>
      <c r="V220" s="1">
        <v>40476</v>
      </c>
      <c r="W220" s="1">
        <v>42508</v>
      </c>
      <c r="X220" t="s">
        <v>37</v>
      </c>
      <c r="Y220" t="s">
        <v>36</v>
      </c>
      <c r="Z220" t="s">
        <v>11</v>
      </c>
      <c r="AA220" t="s">
        <v>30</v>
      </c>
      <c r="AB220">
        <v>2</v>
      </c>
      <c r="AC220" t="s">
        <v>66</v>
      </c>
      <c r="AD220" t="s">
        <v>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25">
      <c r="A221" t="s">
        <v>199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41</v>
      </c>
      <c r="N221" t="s">
        <v>19</v>
      </c>
      <c r="O221">
        <v>2050</v>
      </c>
      <c r="P221" s="1">
        <v>28924</v>
      </c>
      <c r="Q221" t="s">
        <v>18</v>
      </c>
      <c r="R221" t="s">
        <v>58</v>
      </c>
      <c r="S221" t="s">
        <v>57</v>
      </c>
      <c r="T221" t="s">
        <v>15</v>
      </c>
      <c r="U221" t="s">
        <v>14</v>
      </c>
      <c r="V221" s="1">
        <v>41001</v>
      </c>
      <c r="X221" t="s">
        <v>13</v>
      </c>
      <c r="Y221" t="s">
        <v>12</v>
      </c>
      <c r="Z221" t="s">
        <v>11</v>
      </c>
      <c r="AA221" t="s">
        <v>35</v>
      </c>
      <c r="AB221">
        <v>12</v>
      </c>
      <c r="AC221" t="s">
        <v>9</v>
      </c>
      <c r="AD221" t="s">
        <v>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25">
      <c r="A222" t="s">
        <v>198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27</v>
      </c>
      <c r="N222" t="s">
        <v>19</v>
      </c>
      <c r="O222">
        <v>1886</v>
      </c>
      <c r="P222" s="1">
        <v>30941</v>
      </c>
      <c r="Q222" t="s">
        <v>18</v>
      </c>
      <c r="R222" t="s">
        <v>58</v>
      </c>
      <c r="S222" t="s">
        <v>16</v>
      </c>
      <c r="T222" t="s">
        <v>15</v>
      </c>
      <c r="U222" t="s">
        <v>49</v>
      </c>
      <c r="V222" s="1">
        <v>41953</v>
      </c>
      <c r="X222" t="s">
        <v>13</v>
      </c>
      <c r="Y222" t="s">
        <v>12</v>
      </c>
      <c r="Z222" t="s">
        <v>24</v>
      </c>
      <c r="AA222" t="s">
        <v>23</v>
      </c>
      <c r="AB222">
        <v>4</v>
      </c>
      <c r="AC222" t="s">
        <v>22</v>
      </c>
      <c r="AD222" t="s">
        <v>29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25">
      <c r="A223" t="s">
        <v>197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20</v>
      </c>
      <c r="N223" t="s">
        <v>19</v>
      </c>
      <c r="O223">
        <v>2451</v>
      </c>
      <c r="P223" s="1">
        <v>32208</v>
      </c>
      <c r="Q223" t="s">
        <v>40</v>
      </c>
      <c r="R223" t="s">
        <v>58</v>
      </c>
      <c r="S223" t="s">
        <v>16</v>
      </c>
      <c r="T223" t="s">
        <v>15</v>
      </c>
      <c r="U223" t="s">
        <v>14</v>
      </c>
      <c r="V223" s="1">
        <v>40729</v>
      </c>
      <c r="W223" s="1">
        <v>41243</v>
      </c>
      <c r="X223" t="s">
        <v>187</v>
      </c>
      <c r="Y223" t="s">
        <v>36</v>
      </c>
      <c r="Z223" t="s">
        <v>11</v>
      </c>
      <c r="AA223" t="s">
        <v>35</v>
      </c>
      <c r="AB223">
        <v>12</v>
      </c>
      <c r="AC223" t="s">
        <v>34</v>
      </c>
      <c r="AD223" t="s">
        <v>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25">
      <c r="A224" t="s">
        <v>196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20</v>
      </c>
      <c r="N224" t="s">
        <v>19</v>
      </c>
      <c r="O224">
        <v>2451</v>
      </c>
      <c r="P224" s="1">
        <v>29913</v>
      </c>
      <c r="Q224" t="s">
        <v>40</v>
      </c>
      <c r="R224" t="s">
        <v>26</v>
      </c>
      <c r="S224" t="s">
        <v>16</v>
      </c>
      <c r="T224" t="s">
        <v>15</v>
      </c>
      <c r="U224" t="s">
        <v>25</v>
      </c>
      <c r="V224" s="1">
        <v>39391</v>
      </c>
      <c r="X224" t="s">
        <v>13</v>
      </c>
      <c r="Y224" t="s">
        <v>12</v>
      </c>
      <c r="Z224" t="s">
        <v>11</v>
      </c>
      <c r="AA224" t="s">
        <v>10</v>
      </c>
      <c r="AB224">
        <v>14</v>
      </c>
      <c r="AC224" t="s">
        <v>34</v>
      </c>
      <c r="AD224" t="s">
        <v>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25">
      <c r="A225" t="s">
        <v>195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90</v>
      </c>
      <c r="N225" t="s">
        <v>194</v>
      </c>
      <c r="O225">
        <v>40220</v>
      </c>
      <c r="P225" s="1">
        <v>32384</v>
      </c>
      <c r="Q225" t="s">
        <v>18</v>
      </c>
      <c r="R225" t="s">
        <v>58</v>
      </c>
      <c r="S225" t="s">
        <v>16</v>
      </c>
      <c r="T225" t="s">
        <v>15</v>
      </c>
      <c r="U225" t="s">
        <v>49</v>
      </c>
      <c r="V225" s="1">
        <v>40917</v>
      </c>
      <c r="X225" t="s">
        <v>13</v>
      </c>
      <c r="Y225" t="s">
        <v>12</v>
      </c>
      <c r="Z225" t="s">
        <v>88</v>
      </c>
      <c r="AA225" t="s">
        <v>109</v>
      </c>
      <c r="AB225">
        <v>21</v>
      </c>
      <c r="AC225" t="s">
        <v>54</v>
      </c>
      <c r="AD225" t="s">
        <v>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25">
      <c r="A226" t="s">
        <v>193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20</v>
      </c>
      <c r="N226" t="s">
        <v>19</v>
      </c>
      <c r="O226">
        <v>1742</v>
      </c>
      <c r="P226" s="1">
        <v>30970</v>
      </c>
      <c r="Q226" t="s">
        <v>18</v>
      </c>
      <c r="R226" t="s">
        <v>52</v>
      </c>
      <c r="S226" t="s">
        <v>57</v>
      </c>
      <c r="T226" t="s">
        <v>15</v>
      </c>
      <c r="U226" t="s">
        <v>14</v>
      </c>
      <c r="V226" s="1">
        <v>40679</v>
      </c>
      <c r="W226" s="1">
        <v>43255</v>
      </c>
      <c r="X226" t="s">
        <v>37</v>
      </c>
      <c r="Y226" t="s">
        <v>36</v>
      </c>
      <c r="Z226" t="s">
        <v>11</v>
      </c>
      <c r="AA226" t="s">
        <v>39</v>
      </c>
      <c r="AB226">
        <v>20</v>
      </c>
      <c r="AC226" t="s">
        <v>34</v>
      </c>
      <c r="AD226" t="s">
        <v>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25">
      <c r="A227" t="s">
        <v>192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20</v>
      </c>
      <c r="N227" t="s">
        <v>19</v>
      </c>
      <c r="O227">
        <v>2109</v>
      </c>
      <c r="P227" s="1">
        <v>22451</v>
      </c>
      <c r="Q227" t="s">
        <v>40</v>
      </c>
      <c r="R227" t="s">
        <v>26</v>
      </c>
      <c r="S227" t="s">
        <v>16</v>
      </c>
      <c r="T227" t="s">
        <v>15</v>
      </c>
      <c r="U227" t="s">
        <v>25</v>
      </c>
      <c r="V227" s="1">
        <v>41645</v>
      </c>
      <c r="X227" t="s">
        <v>13</v>
      </c>
      <c r="Y227" t="s">
        <v>12</v>
      </c>
      <c r="Z227" t="s">
        <v>11</v>
      </c>
      <c r="AA227" t="s">
        <v>80</v>
      </c>
      <c r="AB227">
        <v>18</v>
      </c>
      <c r="AC227" t="s">
        <v>22</v>
      </c>
      <c r="AD227" t="s">
        <v>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25">
      <c r="A228" t="s">
        <v>191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20</v>
      </c>
      <c r="N228" t="s">
        <v>19</v>
      </c>
      <c r="O228">
        <v>2474</v>
      </c>
      <c r="P228" s="1">
        <v>25833</v>
      </c>
      <c r="Q228" t="s">
        <v>18</v>
      </c>
      <c r="R228" t="s">
        <v>52</v>
      </c>
      <c r="S228" t="s">
        <v>16</v>
      </c>
      <c r="T228" t="s">
        <v>15</v>
      </c>
      <c r="U228" t="s">
        <v>25</v>
      </c>
      <c r="V228" s="1">
        <v>41176</v>
      </c>
      <c r="W228" s="1">
        <v>41443</v>
      </c>
      <c r="X228" t="s">
        <v>56</v>
      </c>
      <c r="Y228" t="s">
        <v>36</v>
      </c>
      <c r="Z228" t="s">
        <v>11</v>
      </c>
      <c r="AA228" t="s">
        <v>39</v>
      </c>
      <c r="AB228">
        <v>20</v>
      </c>
      <c r="AC228" t="s">
        <v>66</v>
      </c>
      <c r="AD228" t="s">
        <v>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25">
      <c r="A229" t="s">
        <v>190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105</v>
      </c>
      <c r="N229" t="s">
        <v>19</v>
      </c>
      <c r="O229">
        <v>2045</v>
      </c>
      <c r="P229" s="1">
        <v>30992</v>
      </c>
      <c r="Q229" t="s">
        <v>40</v>
      </c>
      <c r="R229" t="s">
        <v>58</v>
      </c>
      <c r="S229" t="s">
        <v>57</v>
      </c>
      <c r="T229" t="s">
        <v>15</v>
      </c>
      <c r="U229" t="s">
        <v>49</v>
      </c>
      <c r="V229" s="1">
        <v>40595</v>
      </c>
      <c r="W229" s="1">
        <v>42231</v>
      </c>
      <c r="X229" t="s">
        <v>73</v>
      </c>
      <c r="Y229" t="s">
        <v>36</v>
      </c>
      <c r="Z229" t="s">
        <v>102</v>
      </c>
      <c r="AA229" t="s">
        <v>30</v>
      </c>
      <c r="AB229">
        <v>2</v>
      </c>
      <c r="AC229" t="s">
        <v>46</v>
      </c>
      <c r="AD229" t="s">
        <v>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25">
      <c r="A230" t="s">
        <v>189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123</v>
      </c>
      <c r="N230" t="s">
        <v>19</v>
      </c>
      <c r="O230">
        <v>2110</v>
      </c>
      <c r="P230" s="1">
        <v>29353</v>
      </c>
      <c r="Q230" t="s">
        <v>18</v>
      </c>
      <c r="R230" t="s">
        <v>58</v>
      </c>
      <c r="S230" t="s">
        <v>16</v>
      </c>
      <c r="T230" t="s">
        <v>15</v>
      </c>
      <c r="U230" t="s">
        <v>49</v>
      </c>
      <c r="V230" s="1">
        <v>42645</v>
      </c>
      <c r="X230" t="s">
        <v>13</v>
      </c>
      <c r="Y230" t="s">
        <v>12</v>
      </c>
      <c r="Z230" t="s">
        <v>24</v>
      </c>
      <c r="AA230" t="s">
        <v>67</v>
      </c>
      <c r="AB230">
        <v>13</v>
      </c>
      <c r="AC230" t="s">
        <v>66</v>
      </c>
      <c r="AD230" t="s">
        <v>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25">
      <c r="A231" t="s">
        <v>188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20</v>
      </c>
      <c r="N231" t="s">
        <v>19</v>
      </c>
      <c r="O231">
        <v>2478</v>
      </c>
      <c r="P231" s="1">
        <v>31047</v>
      </c>
      <c r="Q231" t="s">
        <v>40</v>
      </c>
      <c r="R231" t="s">
        <v>52</v>
      </c>
      <c r="S231" t="s">
        <v>16</v>
      </c>
      <c r="T231" t="s">
        <v>15</v>
      </c>
      <c r="U231" t="s">
        <v>25</v>
      </c>
      <c r="V231" s="1">
        <v>40812</v>
      </c>
      <c r="W231" s="1">
        <v>43197</v>
      </c>
      <c r="X231" t="s">
        <v>187</v>
      </c>
      <c r="Y231" t="s">
        <v>36</v>
      </c>
      <c r="Z231" t="s">
        <v>11</v>
      </c>
      <c r="AA231" t="s">
        <v>78</v>
      </c>
      <c r="AB231">
        <v>22</v>
      </c>
      <c r="AC231" t="s">
        <v>66</v>
      </c>
      <c r="AD231" t="s">
        <v>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25">
      <c r="A232" t="s">
        <v>186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90</v>
      </c>
      <c r="N232" t="s">
        <v>185</v>
      </c>
      <c r="O232">
        <v>83706</v>
      </c>
      <c r="P232" s="1">
        <v>20009</v>
      </c>
      <c r="Q232" t="s">
        <v>40</v>
      </c>
      <c r="R232" t="s">
        <v>58</v>
      </c>
      <c r="S232" t="s">
        <v>16</v>
      </c>
      <c r="T232" t="s">
        <v>15</v>
      </c>
      <c r="U232" t="s">
        <v>25</v>
      </c>
      <c r="V232" s="1">
        <v>41771</v>
      </c>
      <c r="X232" t="s">
        <v>13</v>
      </c>
      <c r="Y232" t="s">
        <v>12</v>
      </c>
      <c r="Z232" t="s">
        <v>88</v>
      </c>
      <c r="AA232" t="s">
        <v>87</v>
      </c>
      <c r="AB232">
        <v>17</v>
      </c>
      <c r="AC232" t="s">
        <v>71</v>
      </c>
      <c r="AD232" t="s">
        <v>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25">
      <c r="A233" t="s">
        <v>184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20</v>
      </c>
      <c r="N233" t="s">
        <v>19</v>
      </c>
      <c r="O233">
        <v>2176</v>
      </c>
      <c r="P233" s="1">
        <v>30154</v>
      </c>
      <c r="Q233" t="s">
        <v>40</v>
      </c>
      <c r="R233" t="s">
        <v>52</v>
      </c>
      <c r="S233" t="s">
        <v>16</v>
      </c>
      <c r="T233" t="s">
        <v>50</v>
      </c>
      <c r="U233" t="s">
        <v>25</v>
      </c>
      <c r="V233" s="1">
        <v>40679</v>
      </c>
      <c r="W233" s="1">
        <v>42384</v>
      </c>
      <c r="X233" t="s">
        <v>44</v>
      </c>
      <c r="Y233" t="s">
        <v>36</v>
      </c>
      <c r="Z233" t="s">
        <v>11</v>
      </c>
      <c r="AA233" t="s">
        <v>72</v>
      </c>
      <c r="AB233">
        <v>16</v>
      </c>
      <c r="AC233" t="s">
        <v>9</v>
      </c>
      <c r="AD233" t="s">
        <v>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25">
      <c r="A234" t="s">
        <v>183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20</v>
      </c>
      <c r="N234" t="s">
        <v>19</v>
      </c>
      <c r="O234">
        <v>2171</v>
      </c>
      <c r="P234" s="1">
        <v>26676</v>
      </c>
      <c r="Q234" t="s">
        <v>18</v>
      </c>
      <c r="R234" t="s">
        <v>58</v>
      </c>
      <c r="S234" t="s">
        <v>16</v>
      </c>
      <c r="T234" t="s">
        <v>15</v>
      </c>
      <c r="U234" t="s">
        <v>14</v>
      </c>
      <c r="V234" s="1">
        <v>40875</v>
      </c>
      <c r="X234" t="s">
        <v>13</v>
      </c>
      <c r="Y234" t="s">
        <v>12</v>
      </c>
      <c r="Z234" t="s">
        <v>11</v>
      </c>
      <c r="AA234" t="s">
        <v>60</v>
      </c>
      <c r="AC234" t="s">
        <v>34</v>
      </c>
      <c r="AD234" t="s">
        <v>29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25">
      <c r="A235" t="s">
        <v>182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41</v>
      </c>
      <c r="N235" t="s">
        <v>19</v>
      </c>
      <c r="O235">
        <v>1902</v>
      </c>
      <c r="P235" s="1">
        <v>29834</v>
      </c>
      <c r="Q235" t="s">
        <v>18</v>
      </c>
      <c r="R235" t="s">
        <v>52</v>
      </c>
      <c r="S235" t="s">
        <v>57</v>
      </c>
      <c r="T235" t="s">
        <v>15</v>
      </c>
      <c r="U235" t="s">
        <v>49</v>
      </c>
      <c r="V235" s="1">
        <v>40812</v>
      </c>
      <c r="W235" s="1">
        <v>40838</v>
      </c>
      <c r="X235" t="s">
        <v>117</v>
      </c>
      <c r="Y235" t="s">
        <v>36</v>
      </c>
      <c r="Z235" t="s">
        <v>11</v>
      </c>
      <c r="AA235" t="s">
        <v>10</v>
      </c>
      <c r="AB235">
        <v>14</v>
      </c>
      <c r="AC235" t="s">
        <v>34</v>
      </c>
      <c r="AD235" t="s">
        <v>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25">
      <c r="A236" t="s">
        <v>181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41</v>
      </c>
      <c r="N236" t="s">
        <v>19</v>
      </c>
      <c r="O236">
        <v>2138</v>
      </c>
      <c r="P236" s="1">
        <v>26483</v>
      </c>
      <c r="Q236" t="s">
        <v>40</v>
      </c>
      <c r="R236" t="s">
        <v>58</v>
      </c>
      <c r="S236" t="s">
        <v>16</v>
      </c>
      <c r="T236" t="s">
        <v>15</v>
      </c>
      <c r="U236" t="s">
        <v>25</v>
      </c>
      <c r="V236" s="1">
        <v>40729</v>
      </c>
      <c r="W236" s="1">
        <v>40947</v>
      </c>
      <c r="X236" t="s">
        <v>37</v>
      </c>
      <c r="Y236" t="s">
        <v>36</v>
      </c>
      <c r="Z236" t="s">
        <v>11</v>
      </c>
      <c r="AA236" t="s">
        <v>39</v>
      </c>
      <c r="AB236">
        <v>20</v>
      </c>
      <c r="AC236" t="s">
        <v>66</v>
      </c>
      <c r="AD236" t="s">
        <v>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25">
      <c r="A237" t="s">
        <v>180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20</v>
      </c>
      <c r="N237" t="s">
        <v>19</v>
      </c>
      <c r="O237">
        <v>1420</v>
      </c>
      <c r="P237" s="1">
        <v>27036</v>
      </c>
      <c r="Q237" t="s">
        <v>40</v>
      </c>
      <c r="R237" t="s">
        <v>58</v>
      </c>
      <c r="S237" t="s">
        <v>16</v>
      </c>
      <c r="T237" t="s">
        <v>15</v>
      </c>
      <c r="U237" t="s">
        <v>49</v>
      </c>
      <c r="V237" s="1">
        <v>40553</v>
      </c>
      <c r="W237" s="1">
        <v>42395</v>
      </c>
      <c r="X237" t="s">
        <v>178</v>
      </c>
      <c r="Y237" t="s">
        <v>36</v>
      </c>
      <c r="Z237" t="s">
        <v>11</v>
      </c>
      <c r="AA237" t="s">
        <v>55</v>
      </c>
      <c r="AB237">
        <v>11</v>
      </c>
      <c r="AC237" t="s">
        <v>66</v>
      </c>
      <c r="AD237" t="s">
        <v>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25">
      <c r="A238" t="s">
        <v>179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20</v>
      </c>
      <c r="N238" t="s">
        <v>19</v>
      </c>
      <c r="O238">
        <v>1460</v>
      </c>
      <c r="P238" s="1">
        <v>31054</v>
      </c>
      <c r="Q238" t="s">
        <v>18</v>
      </c>
      <c r="R238" t="s">
        <v>58</v>
      </c>
      <c r="S238" t="s">
        <v>16</v>
      </c>
      <c r="T238" t="s">
        <v>15</v>
      </c>
      <c r="U238" t="s">
        <v>25</v>
      </c>
      <c r="V238" s="1">
        <v>40553</v>
      </c>
      <c r="W238" s="1">
        <v>42507</v>
      </c>
      <c r="X238" t="s">
        <v>178</v>
      </c>
      <c r="Y238" t="s">
        <v>81</v>
      </c>
      <c r="Z238" t="s">
        <v>11</v>
      </c>
      <c r="AA238" t="s">
        <v>47</v>
      </c>
      <c r="AB238">
        <v>19</v>
      </c>
      <c r="AC238" t="s">
        <v>66</v>
      </c>
      <c r="AD238" t="s">
        <v>70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25">
      <c r="A239" t="s">
        <v>177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20</v>
      </c>
      <c r="N239" t="s">
        <v>19</v>
      </c>
      <c r="O239">
        <v>1730</v>
      </c>
      <c r="P239" s="1">
        <v>31075</v>
      </c>
      <c r="Q239" t="s">
        <v>40</v>
      </c>
      <c r="R239" t="s">
        <v>17</v>
      </c>
      <c r="S239" t="s">
        <v>16</v>
      </c>
      <c r="T239" t="s">
        <v>15</v>
      </c>
      <c r="U239" t="s">
        <v>25</v>
      </c>
      <c r="V239" s="1">
        <v>41463</v>
      </c>
      <c r="X239" t="s">
        <v>13</v>
      </c>
      <c r="Y239" t="s">
        <v>12</v>
      </c>
      <c r="Z239" t="s">
        <v>11</v>
      </c>
      <c r="AA239" t="s">
        <v>35</v>
      </c>
      <c r="AB239">
        <v>12</v>
      </c>
      <c r="AC239" t="s">
        <v>22</v>
      </c>
      <c r="AD239" t="s">
        <v>29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25">
      <c r="A240" t="s">
        <v>176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27</v>
      </c>
      <c r="N240" t="s">
        <v>19</v>
      </c>
      <c r="O240">
        <v>1886</v>
      </c>
      <c r="P240" s="1">
        <v>29870</v>
      </c>
      <c r="Q240" t="s">
        <v>18</v>
      </c>
      <c r="R240" t="s">
        <v>58</v>
      </c>
      <c r="S240" t="s">
        <v>16</v>
      </c>
      <c r="T240" t="s">
        <v>15</v>
      </c>
      <c r="U240" t="s">
        <v>25</v>
      </c>
      <c r="V240" s="1">
        <v>42051</v>
      </c>
      <c r="X240" t="s">
        <v>13</v>
      </c>
      <c r="Y240" t="s">
        <v>12</v>
      </c>
      <c r="Z240" t="s">
        <v>24</v>
      </c>
      <c r="AA240" t="s">
        <v>23</v>
      </c>
      <c r="AB240">
        <v>4</v>
      </c>
      <c r="AC240" t="s">
        <v>22</v>
      </c>
      <c r="AD240" t="s">
        <v>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25">
      <c r="A241" t="s">
        <v>175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174</v>
      </c>
      <c r="N241" t="s">
        <v>19</v>
      </c>
      <c r="O241">
        <v>2703</v>
      </c>
      <c r="P241" s="1">
        <v>26811</v>
      </c>
      <c r="Q241" t="s">
        <v>18</v>
      </c>
      <c r="R241" t="s">
        <v>26</v>
      </c>
      <c r="S241" t="s">
        <v>16</v>
      </c>
      <c r="T241" t="s">
        <v>50</v>
      </c>
      <c r="U241" t="s">
        <v>25</v>
      </c>
      <c r="V241" s="1">
        <v>42009</v>
      </c>
      <c r="W241" s="1">
        <v>43414</v>
      </c>
      <c r="X241" t="s">
        <v>37</v>
      </c>
      <c r="Y241" t="s">
        <v>36</v>
      </c>
      <c r="Z241" t="s">
        <v>24</v>
      </c>
      <c r="AA241" t="s">
        <v>23</v>
      </c>
      <c r="AB241">
        <v>4</v>
      </c>
      <c r="AC241" t="s">
        <v>9</v>
      </c>
      <c r="AD241" t="s">
        <v>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25">
      <c r="A242" t="s">
        <v>173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172</v>
      </c>
      <c r="N242" t="s">
        <v>19</v>
      </c>
      <c r="O242">
        <v>2056</v>
      </c>
      <c r="P242" s="1">
        <v>26624</v>
      </c>
      <c r="Q242" t="s">
        <v>18</v>
      </c>
      <c r="R242" t="s">
        <v>26</v>
      </c>
      <c r="S242" t="s">
        <v>16</v>
      </c>
      <c r="T242" t="s">
        <v>15</v>
      </c>
      <c r="U242" t="s">
        <v>49</v>
      </c>
      <c r="V242" s="1">
        <v>42742</v>
      </c>
      <c r="X242" t="s">
        <v>13</v>
      </c>
      <c r="Y242" t="s">
        <v>12</v>
      </c>
      <c r="Z242" t="s">
        <v>24</v>
      </c>
      <c r="AA242" t="s">
        <v>67</v>
      </c>
      <c r="AB242">
        <v>13</v>
      </c>
      <c r="AC242" t="s">
        <v>66</v>
      </c>
      <c r="AD242" t="s">
        <v>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25">
      <c r="A243" t="s">
        <v>171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20</v>
      </c>
      <c r="N243" t="s">
        <v>19</v>
      </c>
      <c r="O243">
        <v>1886</v>
      </c>
      <c r="P243" s="1">
        <v>27368</v>
      </c>
      <c r="Q243" t="s">
        <v>18</v>
      </c>
      <c r="R243" t="s">
        <v>110</v>
      </c>
      <c r="S243" t="s">
        <v>16</v>
      </c>
      <c r="T243" t="s">
        <v>15</v>
      </c>
      <c r="U243" t="s">
        <v>25</v>
      </c>
      <c r="V243" s="1">
        <v>41645</v>
      </c>
      <c r="X243" t="s">
        <v>13</v>
      </c>
      <c r="Y243" t="s">
        <v>12</v>
      </c>
      <c r="Z243" t="s">
        <v>11</v>
      </c>
      <c r="AA243" t="s">
        <v>10</v>
      </c>
      <c r="AB243">
        <v>14</v>
      </c>
      <c r="AC243" t="s">
        <v>54</v>
      </c>
      <c r="AD243" t="s">
        <v>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25">
      <c r="A244" t="s">
        <v>170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20</v>
      </c>
      <c r="N244" t="s">
        <v>19</v>
      </c>
      <c r="O244">
        <v>2155</v>
      </c>
      <c r="P244" s="1">
        <v>31854</v>
      </c>
      <c r="Q244" t="s">
        <v>40</v>
      </c>
      <c r="R244" t="s">
        <v>26</v>
      </c>
      <c r="S244" t="s">
        <v>16</v>
      </c>
      <c r="T244" t="s">
        <v>15</v>
      </c>
      <c r="U244" t="s">
        <v>25</v>
      </c>
      <c r="V244" s="1">
        <v>40637</v>
      </c>
      <c r="W244" s="1">
        <v>43325</v>
      </c>
      <c r="X244" t="s">
        <v>37</v>
      </c>
      <c r="Y244" t="s">
        <v>36</v>
      </c>
      <c r="Z244" t="s">
        <v>11</v>
      </c>
      <c r="AA244" t="s">
        <v>39</v>
      </c>
      <c r="AB244">
        <v>20</v>
      </c>
      <c r="AC244" t="s">
        <v>34</v>
      </c>
      <c r="AD244" t="s">
        <v>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25">
      <c r="A245" t="s">
        <v>169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167</v>
      </c>
      <c r="N245" t="s">
        <v>19</v>
      </c>
      <c r="O245">
        <v>2481</v>
      </c>
      <c r="P245" s="1">
        <v>26759</v>
      </c>
      <c r="Q245" t="s">
        <v>40</v>
      </c>
      <c r="R245" t="s">
        <v>26</v>
      </c>
      <c r="S245" t="s">
        <v>16</v>
      </c>
      <c r="T245" t="s">
        <v>15</v>
      </c>
      <c r="U245" t="s">
        <v>25</v>
      </c>
      <c r="V245" s="1">
        <v>41294</v>
      </c>
      <c r="X245" t="s">
        <v>13</v>
      </c>
      <c r="Y245" t="s">
        <v>12</v>
      </c>
      <c r="Z245" t="s">
        <v>24</v>
      </c>
      <c r="AA245" t="s">
        <v>166</v>
      </c>
      <c r="AB245">
        <v>5</v>
      </c>
      <c r="AC245" t="s">
        <v>66</v>
      </c>
      <c r="AD245" t="s">
        <v>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25">
      <c r="A246" t="s">
        <v>168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167</v>
      </c>
      <c r="N246" t="s">
        <v>19</v>
      </c>
      <c r="O246">
        <v>1915</v>
      </c>
      <c r="P246" s="1">
        <v>23380</v>
      </c>
      <c r="Q246" t="s">
        <v>40</v>
      </c>
      <c r="R246" t="s">
        <v>52</v>
      </c>
      <c r="S246" t="s">
        <v>16</v>
      </c>
      <c r="T246" t="s">
        <v>15</v>
      </c>
      <c r="U246" t="s">
        <v>49</v>
      </c>
      <c r="V246" s="1">
        <v>40917</v>
      </c>
      <c r="W246" s="1">
        <v>42312</v>
      </c>
      <c r="X246" t="s">
        <v>61</v>
      </c>
      <c r="Y246" t="s">
        <v>36</v>
      </c>
      <c r="Z246" t="s">
        <v>24</v>
      </c>
      <c r="AA246" t="s">
        <v>166</v>
      </c>
      <c r="AB246">
        <v>5</v>
      </c>
      <c r="AC246" t="s">
        <v>46</v>
      </c>
      <c r="AD246" t="s">
        <v>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25">
      <c r="A247" t="s">
        <v>165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105</v>
      </c>
      <c r="N247" t="s">
        <v>19</v>
      </c>
      <c r="O247">
        <v>2132</v>
      </c>
      <c r="P247" s="1">
        <v>31617</v>
      </c>
      <c r="Q247" t="s">
        <v>18</v>
      </c>
      <c r="R247" t="s">
        <v>58</v>
      </c>
      <c r="S247" t="s">
        <v>16</v>
      </c>
      <c r="T247" t="s">
        <v>15</v>
      </c>
      <c r="U247" t="s">
        <v>25</v>
      </c>
      <c r="V247" s="1">
        <v>41218</v>
      </c>
      <c r="X247" t="s">
        <v>13</v>
      </c>
      <c r="Y247" t="s">
        <v>12</v>
      </c>
      <c r="Z247" t="s">
        <v>102</v>
      </c>
      <c r="AA247" t="s">
        <v>101</v>
      </c>
      <c r="AB247">
        <v>10</v>
      </c>
      <c r="AC247" t="s">
        <v>66</v>
      </c>
      <c r="AD247" t="s">
        <v>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25">
      <c r="A248" t="s">
        <v>164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20</v>
      </c>
      <c r="N248" t="s">
        <v>19</v>
      </c>
      <c r="O248">
        <v>1801</v>
      </c>
      <c r="P248" s="1">
        <v>24995</v>
      </c>
      <c r="Q248" t="s">
        <v>18</v>
      </c>
      <c r="R248" t="s">
        <v>26</v>
      </c>
      <c r="S248" t="s">
        <v>16</v>
      </c>
      <c r="T248" t="s">
        <v>15</v>
      </c>
      <c r="U248" t="s">
        <v>49</v>
      </c>
      <c r="V248" s="1">
        <v>42555</v>
      </c>
      <c r="X248" t="s">
        <v>13</v>
      </c>
      <c r="Y248" t="s">
        <v>12</v>
      </c>
      <c r="Z248" t="s">
        <v>11</v>
      </c>
      <c r="AA248" t="s">
        <v>80</v>
      </c>
      <c r="AB248">
        <v>18</v>
      </c>
      <c r="AC248" t="s">
        <v>46</v>
      </c>
      <c r="AD248" t="s">
        <v>70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25">
      <c r="A249" t="s">
        <v>163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20</v>
      </c>
      <c r="N249" t="s">
        <v>19</v>
      </c>
      <c r="O249">
        <v>2148</v>
      </c>
      <c r="P249" s="1">
        <v>27384</v>
      </c>
      <c r="Q249" t="s">
        <v>40</v>
      </c>
      <c r="R249" t="s">
        <v>26</v>
      </c>
      <c r="S249" t="s">
        <v>16</v>
      </c>
      <c r="T249" t="s">
        <v>15</v>
      </c>
      <c r="U249" t="s">
        <v>25</v>
      </c>
      <c r="V249" s="1">
        <v>39818</v>
      </c>
      <c r="W249" s="1">
        <v>43311</v>
      </c>
      <c r="X249" t="s">
        <v>48</v>
      </c>
      <c r="Y249" t="s">
        <v>36</v>
      </c>
      <c r="Z249" t="s">
        <v>11</v>
      </c>
      <c r="AA249" t="s">
        <v>78</v>
      </c>
      <c r="AB249">
        <v>22</v>
      </c>
      <c r="AC249" t="s">
        <v>34</v>
      </c>
      <c r="AD249" t="s">
        <v>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25">
      <c r="A250" t="s">
        <v>162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41</v>
      </c>
      <c r="N250" t="s">
        <v>19</v>
      </c>
      <c r="O250">
        <v>2062</v>
      </c>
      <c r="P250" s="1">
        <v>31528</v>
      </c>
      <c r="Q250" t="s">
        <v>40</v>
      </c>
      <c r="R250" t="s">
        <v>58</v>
      </c>
      <c r="S250" t="s">
        <v>16</v>
      </c>
      <c r="T250" t="s">
        <v>15</v>
      </c>
      <c r="U250" t="s">
        <v>25</v>
      </c>
      <c r="V250" s="1">
        <v>40420</v>
      </c>
      <c r="X250" t="s">
        <v>13</v>
      </c>
      <c r="Y250" t="s">
        <v>12</v>
      </c>
      <c r="Z250" t="s">
        <v>11</v>
      </c>
      <c r="AA250" t="s">
        <v>80</v>
      </c>
      <c r="AB250">
        <v>18</v>
      </c>
      <c r="AC250" t="s">
        <v>71</v>
      </c>
      <c r="AD250" t="s">
        <v>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25">
      <c r="A251" t="s">
        <v>161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160</v>
      </c>
      <c r="N251" t="s">
        <v>19</v>
      </c>
      <c r="O251">
        <v>2452</v>
      </c>
      <c r="P251" s="1">
        <v>32128</v>
      </c>
      <c r="Q251" t="s">
        <v>40</v>
      </c>
      <c r="R251" t="s">
        <v>52</v>
      </c>
      <c r="S251" t="s">
        <v>16</v>
      </c>
      <c r="T251" t="s">
        <v>15</v>
      </c>
      <c r="U251" t="s">
        <v>49</v>
      </c>
      <c r="V251" s="1">
        <v>42009</v>
      </c>
      <c r="W251" s="1">
        <v>42308</v>
      </c>
      <c r="X251" t="s">
        <v>61</v>
      </c>
      <c r="Y251" t="s">
        <v>36</v>
      </c>
      <c r="Z251" t="s">
        <v>24</v>
      </c>
      <c r="AA251" t="s">
        <v>23</v>
      </c>
      <c r="AB251">
        <v>4</v>
      </c>
      <c r="AC251" t="s">
        <v>9</v>
      </c>
      <c r="AD251" t="s">
        <v>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25">
      <c r="A252" t="s">
        <v>159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20</v>
      </c>
      <c r="N252" t="s">
        <v>19</v>
      </c>
      <c r="O252">
        <v>2154</v>
      </c>
      <c r="P252" s="1">
        <v>32334</v>
      </c>
      <c r="Q252" t="s">
        <v>18</v>
      </c>
      <c r="R252" t="s">
        <v>58</v>
      </c>
      <c r="S252" t="s">
        <v>16</v>
      </c>
      <c r="T252" t="s">
        <v>15</v>
      </c>
      <c r="U252" t="s">
        <v>49</v>
      </c>
      <c r="V252" s="1">
        <v>41911</v>
      </c>
      <c r="X252" t="s">
        <v>13</v>
      </c>
      <c r="Y252" t="s">
        <v>12</v>
      </c>
      <c r="Z252" t="s">
        <v>11</v>
      </c>
      <c r="AA252" t="s">
        <v>72</v>
      </c>
      <c r="AB252">
        <v>16</v>
      </c>
      <c r="AC252" t="s">
        <v>9</v>
      </c>
      <c r="AD252" t="s">
        <v>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25">
      <c r="A253" t="s">
        <v>158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20</v>
      </c>
      <c r="N253" t="s">
        <v>19</v>
      </c>
      <c r="O253">
        <v>2191</v>
      </c>
      <c r="P253" s="1">
        <v>27463</v>
      </c>
      <c r="Q253" t="s">
        <v>18</v>
      </c>
      <c r="R253" t="s">
        <v>26</v>
      </c>
      <c r="S253" t="s">
        <v>16</v>
      </c>
      <c r="T253" t="s">
        <v>15</v>
      </c>
      <c r="U253" t="s">
        <v>14</v>
      </c>
      <c r="V253" s="1">
        <v>41547</v>
      </c>
      <c r="X253" t="s">
        <v>13</v>
      </c>
      <c r="Y253" t="s">
        <v>12</v>
      </c>
      <c r="Z253" t="s">
        <v>11</v>
      </c>
      <c r="AA253" t="s">
        <v>60</v>
      </c>
      <c r="AC253" t="s">
        <v>34</v>
      </c>
      <c r="AD253" t="s">
        <v>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25">
      <c r="A254" t="s">
        <v>157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98</v>
      </c>
      <c r="N254" t="s">
        <v>19</v>
      </c>
      <c r="O254">
        <v>1773</v>
      </c>
      <c r="P254" s="1">
        <v>29690</v>
      </c>
      <c r="Q254" t="s">
        <v>18</v>
      </c>
      <c r="R254" t="s">
        <v>58</v>
      </c>
      <c r="S254" t="s">
        <v>16</v>
      </c>
      <c r="T254" t="s">
        <v>15</v>
      </c>
      <c r="U254" t="s">
        <v>25</v>
      </c>
      <c r="V254" s="1">
        <v>41912</v>
      </c>
      <c r="X254" t="s">
        <v>13</v>
      </c>
      <c r="Y254" t="s">
        <v>12</v>
      </c>
      <c r="Z254" t="s">
        <v>24</v>
      </c>
      <c r="AA254" t="s">
        <v>63</v>
      </c>
      <c r="AB254">
        <v>7</v>
      </c>
      <c r="AC254" t="s">
        <v>9</v>
      </c>
      <c r="AD254" t="s">
        <v>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25">
      <c r="A255" t="s">
        <v>156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20</v>
      </c>
      <c r="N255" t="s">
        <v>19</v>
      </c>
      <c r="O255">
        <v>2149</v>
      </c>
      <c r="P255" s="1">
        <v>31283</v>
      </c>
      <c r="Q255" t="s">
        <v>18</v>
      </c>
      <c r="R255" t="s">
        <v>58</v>
      </c>
      <c r="S255" t="s">
        <v>16</v>
      </c>
      <c r="T255" t="s">
        <v>15</v>
      </c>
      <c r="U255" t="s">
        <v>25</v>
      </c>
      <c r="V255" s="1">
        <v>41505</v>
      </c>
      <c r="X255" t="s">
        <v>13</v>
      </c>
      <c r="Y255" t="s">
        <v>12</v>
      </c>
      <c r="Z255" t="s">
        <v>11</v>
      </c>
      <c r="AA255" t="s">
        <v>55</v>
      </c>
      <c r="AB255">
        <v>11</v>
      </c>
      <c r="AC255" t="s">
        <v>9</v>
      </c>
      <c r="AD255" t="s">
        <v>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25">
      <c r="A256" t="s">
        <v>155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27</v>
      </c>
      <c r="N256" t="s">
        <v>19</v>
      </c>
      <c r="O256">
        <v>2110</v>
      </c>
      <c r="P256" s="1">
        <v>25607</v>
      </c>
      <c r="Q256" t="s">
        <v>40</v>
      </c>
      <c r="R256" t="s">
        <v>58</v>
      </c>
      <c r="S256" t="s">
        <v>16</v>
      </c>
      <c r="T256" t="s">
        <v>50</v>
      </c>
      <c r="U256" t="s">
        <v>25</v>
      </c>
      <c r="V256" s="1">
        <v>42009</v>
      </c>
      <c r="X256" t="s">
        <v>13</v>
      </c>
      <c r="Y256" t="s">
        <v>12</v>
      </c>
      <c r="Z256" t="s">
        <v>24</v>
      </c>
      <c r="AA256" t="s">
        <v>23</v>
      </c>
      <c r="AB256">
        <v>4</v>
      </c>
      <c r="AC256" t="s">
        <v>22</v>
      </c>
      <c r="AD256" t="s">
        <v>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25">
      <c r="A257" t="s">
        <v>154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147</v>
      </c>
      <c r="N257" t="s">
        <v>19</v>
      </c>
      <c r="O257">
        <v>2330</v>
      </c>
      <c r="P257" s="1">
        <v>32282</v>
      </c>
      <c r="Q257" t="s">
        <v>18</v>
      </c>
      <c r="R257" t="s">
        <v>26</v>
      </c>
      <c r="S257" t="s">
        <v>16</v>
      </c>
      <c r="T257" t="s">
        <v>15</v>
      </c>
      <c r="U257" t="s">
        <v>25</v>
      </c>
      <c r="V257" s="1">
        <v>42125</v>
      </c>
      <c r="X257" t="s">
        <v>13</v>
      </c>
      <c r="Y257" t="s">
        <v>12</v>
      </c>
      <c r="Z257" t="s">
        <v>133</v>
      </c>
      <c r="AA257" t="s">
        <v>132</v>
      </c>
      <c r="AB257">
        <v>1</v>
      </c>
      <c r="AC257" t="s">
        <v>54</v>
      </c>
      <c r="AD257" t="s">
        <v>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25">
      <c r="A258" t="s">
        <v>153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41</v>
      </c>
      <c r="N258" t="s">
        <v>19</v>
      </c>
      <c r="O258">
        <v>1851</v>
      </c>
      <c r="P258" s="1">
        <v>32106</v>
      </c>
      <c r="Q258" t="s">
        <v>18</v>
      </c>
      <c r="R258" t="s">
        <v>26</v>
      </c>
      <c r="S258" t="s">
        <v>16</v>
      </c>
      <c r="T258" t="s">
        <v>15</v>
      </c>
      <c r="U258" t="s">
        <v>25</v>
      </c>
      <c r="V258" s="1">
        <v>40112</v>
      </c>
      <c r="W258" s="1">
        <v>42102</v>
      </c>
      <c r="X258" t="s">
        <v>93</v>
      </c>
      <c r="Y258" t="s">
        <v>36</v>
      </c>
      <c r="Z258" t="s">
        <v>11</v>
      </c>
      <c r="AA258" t="s">
        <v>78</v>
      </c>
      <c r="AB258">
        <v>22</v>
      </c>
      <c r="AC258" t="s">
        <v>71</v>
      </c>
      <c r="AD258" t="s">
        <v>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25">
      <c r="A259" t="s">
        <v>152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41</v>
      </c>
      <c r="N259" t="s">
        <v>19</v>
      </c>
      <c r="O259">
        <v>2045</v>
      </c>
      <c r="P259" s="1">
        <v>23314</v>
      </c>
      <c r="Q259" t="s">
        <v>40</v>
      </c>
      <c r="R259" t="s">
        <v>26</v>
      </c>
      <c r="S259" t="s">
        <v>16</v>
      </c>
      <c r="T259" t="s">
        <v>15</v>
      </c>
      <c r="U259" t="s">
        <v>25</v>
      </c>
      <c r="V259" s="1">
        <v>41911</v>
      </c>
      <c r="X259" t="s">
        <v>13</v>
      </c>
      <c r="Y259" t="s">
        <v>12</v>
      </c>
      <c r="Z259" t="s">
        <v>11</v>
      </c>
      <c r="AA259" t="s">
        <v>72</v>
      </c>
      <c r="AB259">
        <v>16</v>
      </c>
      <c r="AC259" t="s">
        <v>66</v>
      </c>
      <c r="AD259" t="s">
        <v>29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25">
      <c r="A260" t="s">
        <v>151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150</v>
      </c>
      <c r="N260" t="s">
        <v>19</v>
      </c>
      <c r="O260">
        <v>1886</v>
      </c>
      <c r="P260" s="1">
        <v>30910</v>
      </c>
      <c r="Q260" t="s">
        <v>40</v>
      </c>
      <c r="R260" t="s">
        <v>52</v>
      </c>
      <c r="S260" t="s">
        <v>16</v>
      </c>
      <c r="T260" t="s">
        <v>15</v>
      </c>
      <c r="U260" t="s">
        <v>49</v>
      </c>
      <c r="V260" s="1">
        <v>41777</v>
      </c>
      <c r="X260" t="s">
        <v>13</v>
      </c>
      <c r="Y260" t="s">
        <v>12</v>
      </c>
      <c r="Z260" t="s">
        <v>88</v>
      </c>
      <c r="AA260" t="s">
        <v>149</v>
      </c>
      <c r="AB260">
        <v>15</v>
      </c>
      <c r="AC260" t="s">
        <v>46</v>
      </c>
      <c r="AD260" t="s">
        <v>70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25">
      <c r="A261" t="s">
        <v>148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147</v>
      </c>
      <c r="N261" t="s">
        <v>19</v>
      </c>
      <c r="O261">
        <v>1844</v>
      </c>
      <c r="P261" s="1">
        <v>31942</v>
      </c>
      <c r="Q261" t="s">
        <v>18</v>
      </c>
      <c r="R261" t="s">
        <v>58</v>
      </c>
      <c r="S261" t="s">
        <v>16</v>
      </c>
      <c r="T261" t="s">
        <v>15</v>
      </c>
      <c r="U261" t="s">
        <v>49</v>
      </c>
      <c r="V261" s="1">
        <v>40812</v>
      </c>
      <c r="W261" s="1">
        <v>41542</v>
      </c>
      <c r="X261" t="s">
        <v>73</v>
      </c>
      <c r="Y261" t="s">
        <v>36</v>
      </c>
      <c r="Z261" t="s">
        <v>133</v>
      </c>
      <c r="AA261" t="s">
        <v>132</v>
      </c>
      <c r="AB261">
        <v>1</v>
      </c>
      <c r="AC261" t="s">
        <v>46</v>
      </c>
      <c r="AD261" t="s">
        <v>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25">
      <c r="A262" t="s">
        <v>146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20</v>
      </c>
      <c r="N262" t="s">
        <v>19</v>
      </c>
      <c r="O262">
        <v>2130</v>
      </c>
      <c r="P262" s="1">
        <v>23775</v>
      </c>
      <c r="Q262" t="s">
        <v>18</v>
      </c>
      <c r="R262" t="s">
        <v>26</v>
      </c>
      <c r="S262" t="s">
        <v>16</v>
      </c>
      <c r="T262" t="s">
        <v>15</v>
      </c>
      <c r="U262" t="s">
        <v>25</v>
      </c>
      <c r="V262" s="1">
        <v>41589</v>
      </c>
      <c r="X262" t="s">
        <v>13</v>
      </c>
      <c r="Y262" t="s">
        <v>12</v>
      </c>
      <c r="Z262" t="s">
        <v>11</v>
      </c>
      <c r="AA262" t="s">
        <v>47</v>
      </c>
      <c r="AB262">
        <v>19</v>
      </c>
      <c r="AC262" t="s">
        <v>22</v>
      </c>
      <c r="AD262" t="s">
        <v>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25">
      <c r="A263" t="s">
        <v>145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144</v>
      </c>
      <c r="N263" t="s">
        <v>19</v>
      </c>
      <c r="O263">
        <v>2360</v>
      </c>
      <c r="P263" s="1">
        <v>26735</v>
      </c>
      <c r="Q263" t="s">
        <v>18</v>
      </c>
      <c r="R263" t="s">
        <v>58</v>
      </c>
      <c r="S263" t="s">
        <v>16</v>
      </c>
      <c r="T263" t="s">
        <v>15</v>
      </c>
      <c r="U263" t="s">
        <v>49</v>
      </c>
      <c r="V263" s="1">
        <v>40704</v>
      </c>
      <c r="X263" t="s">
        <v>13</v>
      </c>
      <c r="Y263" t="s">
        <v>12</v>
      </c>
      <c r="Z263" t="s">
        <v>24</v>
      </c>
      <c r="AA263" t="s">
        <v>143</v>
      </c>
      <c r="AB263">
        <v>6</v>
      </c>
      <c r="AC263" t="s">
        <v>9</v>
      </c>
      <c r="AD263" t="s">
        <v>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25">
      <c r="A264" t="s">
        <v>142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64</v>
      </c>
      <c r="N264" t="s">
        <v>19</v>
      </c>
      <c r="O264">
        <v>1545</v>
      </c>
      <c r="P264" s="1">
        <v>30356</v>
      </c>
      <c r="Q264" t="s">
        <v>40</v>
      </c>
      <c r="R264" t="s">
        <v>58</v>
      </c>
      <c r="S264" t="s">
        <v>16</v>
      </c>
      <c r="T264" t="s">
        <v>15</v>
      </c>
      <c r="U264" t="s">
        <v>14</v>
      </c>
      <c r="V264" s="1">
        <v>42551</v>
      </c>
      <c r="X264" t="s">
        <v>13</v>
      </c>
      <c r="Y264" t="s">
        <v>12</v>
      </c>
      <c r="Z264" t="s">
        <v>24</v>
      </c>
      <c r="AA264" t="s">
        <v>63</v>
      </c>
      <c r="AB264">
        <v>7</v>
      </c>
      <c r="AC264" t="s">
        <v>9</v>
      </c>
      <c r="AD264" t="s">
        <v>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25">
      <c r="A265" t="s">
        <v>141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20</v>
      </c>
      <c r="N265" t="s">
        <v>19</v>
      </c>
      <c r="O265">
        <v>2093</v>
      </c>
      <c r="P265" s="1">
        <v>25039</v>
      </c>
      <c r="Q265" t="s">
        <v>18</v>
      </c>
      <c r="R265" t="s">
        <v>58</v>
      </c>
      <c r="S265" t="s">
        <v>16</v>
      </c>
      <c r="T265" t="s">
        <v>15</v>
      </c>
      <c r="U265" t="s">
        <v>25</v>
      </c>
      <c r="V265" s="1">
        <v>40959</v>
      </c>
      <c r="X265" t="s">
        <v>13</v>
      </c>
      <c r="Y265" t="s">
        <v>12</v>
      </c>
      <c r="Z265" t="s">
        <v>11</v>
      </c>
      <c r="AA265" t="s">
        <v>35</v>
      </c>
      <c r="AB265">
        <v>12</v>
      </c>
      <c r="AC265" t="s">
        <v>66</v>
      </c>
      <c r="AD265" t="s">
        <v>33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25">
      <c r="A266" t="s">
        <v>140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75</v>
      </c>
      <c r="N266" t="s">
        <v>19</v>
      </c>
      <c r="O266">
        <v>2451</v>
      </c>
      <c r="P266" s="1">
        <v>27667</v>
      </c>
      <c r="Q266" t="s">
        <v>18</v>
      </c>
      <c r="R266" t="s">
        <v>58</v>
      </c>
      <c r="S266" t="s">
        <v>16</v>
      </c>
      <c r="T266" t="s">
        <v>15</v>
      </c>
      <c r="U266" t="s">
        <v>25</v>
      </c>
      <c r="V266" s="1">
        <v>41184</v>
      </c>
      <c r="X266" t="s">
        <v>13</v>
      </c>
      <c r="Y266" t="s">
        <v>12</v>
      </c>
      <c r="Z266" t="s">
        <v>11</v>
      </c>
      <c r="AA266" t="s">
        <v>30</v>
      </c>
      <c r="AB266">
        <v>2</v>
      </c>
      <c r="AC266" t="s">
        <v>9</v>
      </c>
      <c r="AD266" t="s">
        <v>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25">
      <c r="A267" t="s">
        <v>139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20</v>
      </c>
      <c r="N267" t="s">
        <v>19</v>
      </c>
      <c r="O267">
        <v>2359</v>
      </c>
      <c r="P267" s="1">
        <v>26749</v>
      </c>
      <c r="Q267" t="s">
        <v>18</v>
      </c>
      <c r="R267" t="s">
        <v>52</v>
      </c>
      <c r="S267" t="s">
        <v>16</v>
      </c>
      <c r="T267" t="s">
        <v>15</v>
      </c>
      <c r="U267" t="s">
        <v>25</v>
      </c>
      <c r="V267" s="1">
        <v>41407</v>
      </c>
      <c r="W267" s="1">
        <v>42184</v>
      </c>
      <c r="X267" t="s">
        <v>56</v>
      </c>
      <c r="Y267" t="s">
        <v>36</v>
      </c>
      <c r="Z267" t="s">
        <v>11</v>
      </c>
      <c r="AA267" t="s">
        <v>10</v>
      </c>
      <c r="AB267">
        <v>14</v>
      </c>
      <c r="AC267" t="s">
        <v>9</v>
      </c>
      <c r="AD267" t="s">
        <v>29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25">
      <c r="A268" t="s">
        <v>138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20</v>
      </c>
      <c r="N268" t="s">
        <v>19</v>
      </c>
      <c r="O268">
        <v>2050</v>
      </c>
      <c r="P268" s="1">
        <v>30188</v>
      </c>
      <c r="Q268" t="s">
        <v>18</v>
      </c>
      <c r="R268" t="s">
        <v>52</v>
      </c>
      <c r="S268" t="s">
        <v>16</v>
      </c>
      <c r="T268" t="s">
        <v>15</v>
      </c>
      <c r="U268" t="s">
        <v>95</v>
      </c>
      <c r="V268" s="1">
        <v>40553</v>
      </c>
      <c r="X268" t="s">
        <v>13</v>
      </c>
      <c r="Y268" t="s">
        <v>12</v>
      </c>
      <c r="Z268" t="s">
        <v>11</v>
      </c>
      <c r="AA268" t="s">
        <v>39</v>
      </c>
      <c r="AB268">
        <v>20</v>
      </c>
      <c r="AC268" t="s">
        <v>34</v>
      </c>
      <c r="AD268" t="s">
        <v>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25">
      <c r="A269" t="s">
        <v>137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90</v>
      </c>
      <c r="N269" t="s">
        <v>136</v>
      </c>
      <c r="O269">
        <v>89139</v>
      </c>
      <c r="P269" s="1">
        <v>27158</v>
      </c>
      <c r="Q269" t="s">
        <v>40</v>
      </c>
      <c r="R269" t="s">
        <v>58</v>
      </c>
      <c r="S269" t="s">
        <v>16</v>
      </c>
      <c r="T269" t="s">
        <v>15</v>
      </c>
      <c r="U269" t="s">
        <v>25</v>
      </c>
      <c r="V269" s="1">
        <v>41771</v>
      </c>
      <c r="X269" t="s">
        <v>13</v>
      </c>
      <c r="Y269" t="s">
        <v>12</v>
      </c>
      <c r="Z269" t="s">
        <v>88</v>
      </c>
      <c r="AA269" t="s">
        <v>109</v>
      </c>
      <c r="AB269">
        <v>21</v>
      </c>
      <c r="AC269" t="s">
        <v>54</v>
      </c>
      <c r="AD269" t="s">
        <v>33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25">
      <c r="A270" t="s">
        <v>135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19</v>
      </c>
      <c r="O270">
        <v>2703</v>
      </c>
      <c r="P270" s="1">
        <v>31656</v>
      </c>
      <c r="Q270" t="s">
        <v>40</v>
      </c>
      <c r="R270" t="s">
        <v>26</v>
      </c>
      <c r="S270" t="s">
        <v>16</v>
      </c>
      <c r="T270" t="s">
        <v>15</v>
      </c>
      <c r="U270" t="s">
        <v>25</v>
      </c>
      <c r="V270" s="1">
        <v>41911</v>
      </c>
      <c r="X270" t="s">
        <v>13</v>
      </c>
      <c r="Y270" t="s">
        <v>12</v>
      </c>
      <c r="Z270" t="s">
        <v>133</v>
      </c>
      <c r="AA270" t="s">
        <v>132</v>
      </c>
      <c r="AB270">
        <v>1</v>
      </c>
      <c r="AC270" t="s">
        <v>66</v>
      </c>
      <c r="AD270" t="s">
        <v>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25">
      <c r="A271" t="s">
        <v>131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20</v>
      </c>
      <c r="N271" t="s">
        <v>19</v>
      </c>
      <c r="O271">
        <v>2301</v>
      </c>
      <c r="P271" s="1">
        <v>31120</v>
      </c>
      <c r="Q271" t="s">
        <v>40</v>
      </c>
      <c r="R271" t="s">
        <v>58</v>
      </c>
      <c r="S271" t="s">
        <v>16</v>
      </c>
      <c r="T271" t="s">
        <v>15</v>
      </c>
      <c r="U271" t="s">
        <v>14</v>
      </c>
      <c r="V271" s="1">
        <v>41687</v>
      </c>
      <c r="X271" t="s">
        <v>13</v>
      </c>
      <c r="Y271" t="s">
        <v>12</v>
      </c>
      <c r="Z271" t="s">
        <v>11</v>
      </c>
      <c r="AA271" t="s">
        <v>80</v>
      </c>
      <c r="AB271">
        <v>18</v>
      </c>
      <c r="AC271" t="s">
        <v>9</v>
      </c>
      <c r="AD271" t="s">
        <v>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25">
      <c r="A272" t="s">
        <v>130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90</v>
      </c>
      <c r="N272" t="s">
        <v>129</v>
      </c>
      <c r="O272">
        <v>59102</v>
      </c>
      <c r="P272" s="1">
        <v>32640</v>
      </c>
      <c r="Q272" t="s">
        <v>18</v>
      </c>
      <c r="R272" t="s">
        <v>58</v>
      </c>
      <c r="S272" t="s">
        <v>16</v>
      </c>
      <c r="T272" t="s">
        <v>15</v>
      </c>
      <c r="U272" t="s">
        <v>49</v>
      </c>
      <c r="V272" s="1">
        <v>40448</v>
      </c>
      <c r="X272" t="s">
        <v>13</v>
      </c>
      <c r="Y272" t="s">
        <v>12</v>
      </c>
      <c r="Z272" t="s">
        <v>88</v>
      </c>
      <c r="AA272" t="s">
        <v>87</v>
      </c>
      <c r="AB272">
        <v>17</v>
      </c>
      <c r="AC272" t="s">
        <v>66</v>
      </c>
      <c r="AD272" t="s">
        <v>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25">
      <c r="A273" t="s">
        <v>128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75</v>
      </c>
      <c r="N273" t="s">
        <v>19</v>
      </c>
      <c r="O273">
        <v>1776</v>
      </c>
      <c r="P273" s="1">
        <v>28577</v>
      </c>
      <c r="Q273" t="s">
        <v>18</v>
      </c>
      <c r="R273" t="s">
        <v>58</v>
      </c>
      <c r="S273" t="s">
        <v>16</v>
      </c>
      <c r="T273" t="s">
        <v>15</v>
      </c>
      <c r="U273" t="s">
        <v>49</v>
      </c>
      <c r="V273" s="1">
        <v>39821</v>
      </c>
      <c r="X273" t="s">
        <v>13</v>
      </c>
      <c r="Y273" t="s">
        <v>12</v>
      </c>
      <c r="Z273" t="s">
        <v>11</v>
      </c>
      <c r="AA273" t="s">
        <v>30</v>
      </c>
      <c r="AB273">
        <v>2</v>
      </c>
      <c r="AC273" t="s">
        <v>66</v>
      </c>
      <c r="AD273" t="s">
        <v>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25">
      <c r="A274" t="s">
        <v>127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20</v>
      </c>
      <c r="N274" t="s">
        <v>19</v>
      </c>
      <c r="O274">
        <v>2747</v>
      </c>
      <c r="P274" s="1">
        <v>30231</v>
      </c>
      <c r="Q274" t="s">
        <v>40</v>
      </c>
      <c r="R274" t="s">
        <v>58</v>
      </c>
      <c r="S274" t="s">
        <v>16</v>
      </c>
      <c r="T274" t="s">
        <v>50</v>
      </c>
      <c r="U274" t="s">
        <v>25</v>
      </c>
      <c r="V274" s="1">
        <v>42009</v>
      </c>
      <c r="X274" t="s">
        <v>13</v>
      </c>
      <c r="Y274" t="s">
        <v>12</v>
      </c>
      <c r="Z274" t="s">
        <v>11</v>
      </c>
      <c r="AA274" t="s">
        <v>78</v>
      </c>
      <c r="AB274">
        <v>22</v>
      </c>
      <c r="AC274" t="s">
        <v>34</v>
      </c>
      <c r="AD274" t="s">
        <v>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25">
      <c r="A275" t="s">
        <v>126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20</v>
      </c>
      <c r="N275" t="s">
        <v>19</v>
      </c>
      <c r="O275">
        <v>2718</v>
      </c>
      <c r="P275" s="1">
        <v>25065</v>
      </c>
      <c r="Q275" t="s">
        <v>18</v>
      </c>
      <c r="R275" t="s">
        <v>26</v>
      </c>
      <c r="S275" t="s">
        <v>57</v>
      </c>
      <c r="T275" t="s">
        <v>15</v>
      </c>
      <c r="U275" t="s">
        <v>14</v>
      </c>
      <c r="V275" s="1">
        <v>41043</v>
      </c>
      <c r="X275" t="s">
        <v>13</v>
      </c>
      <c r="Y275" t="s">
        <v>12</v>
      </c>
      <c r="Z275" t="s">
        <v>11</v>
      </c>
      <c r="AA275" t="s">
        <v>72</v>
      </c>
      <c r="AB275">
        <v>16</v>
      </c>
      <c r="AC275" t="s">
        <v>66</v>
      </c>
      <c r="AD275" t="s">
        <v>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25">
      <c r="A276" t="s">
        <v>125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105</v>
      </c>
      <c r="N276" t="s">
        <v>19</v>
      </c>
      <c r="O276">
        <v>2140</v>
      </c>
      <c r="P276" s="1">
        <v>30442</v>
      </c>
      <c r="Q276" t="s">
        <v>40</v>
      </c>
      <c r="R276" t="s">
        <v>26</v>
      </c>
      <c r="S276" t="s">
        <v>16</v>
      </c>
      <c r="T276" t="s">
        <v>15</v>
      </c>
      <c r="U276" t="s">
        <v>25</v>
      </c>
      <c r="V276" s="1">
        <v>41827</v>
      </c>
      <c r="X276" t="s">
        <v>13</v>
      </c>
      <c r="Y276" t="s">
        <v>12</v>
      </c>
      <c r="Z276" t="s">
        <v>102</v>
      </c>
      <c r="AA276" t="s">
        <v>101</v>
      </c>
      <c r="AB276">
        <v>10</v>
      </c>
      <c r="AC276" t="s">
        <v>9</v>
      </c>
      <c r="AD276" t="s">
        <v>29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25">
      <c r="A277" t="s">
        <v>124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123</v>
      </c>
      <c r="N277" t="s">
        <v>19</v>
      </c>
      <c r="O277">
        <v>2134</v>
      </c>
      <c r="P277" s="1">
        <v>32074</v>
      </c>
      <c r="Q277" t="s">
        <v>40</v>
      </c>
      <c r="R277" t="s">
        <v>58</v>
      </c>
      <c r="S277" t="s">
        <v>16</v>
      </c>
      <c r="T277" t="s">
        <v>15</v>
      </c>
      <c r="U277" t="s">
        <v>25</v>
      </c>
      <c r="V277" s="1">
        <v>42845</v>
      </c>
      <c r="X277" t="s">
        <v>13</v>
      </c>
      <c r="Y277" t="s">
        <v>12</v>
      </c>
      <c r="Z277" t="s">
        <v>24</v>
      </c>
      <c r="AA277" t="s">
        <v>67</v>
      </c>
      <c r="AB277">
        <v>13</v>
      </c>
      <c r="AC277" t="s">
        <v>66</v>
      </c>
      <c r="AD277" t="s">
        <v>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25">
      <c r="A278" t="s">
        <v>122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20</v>
      </c>
      <c r="N278" t="s">
        <v>19</v>
      </c>
      <c r="O278">
        <v>1801</v>
      </c>
      <c r="P278" s="1">
        <v>27487</v>
      </c>
      <c r="Q278" t="s">
        <v>18</v>
      </c>
      <c r="R278" t="s">
        <v>58</v>
      </c>
      <c r="S278" t="s">
        <v>104</v>
      </c>
      <c r="T278" t="s">
        <v>15</v>
      </c>
      <c r="U278" t="s">
        <v>49</v>
      </c>
      <c r="V278" s="1">
        <v>39930</v>
      </c>
      <c r="W278" s="1">
        <v>41365</v>
      </c>
      <c r="X278" t="s">
        <v>37</v>
      </c>
      <c r="Y278" t="s">
        <v>36</v>
      </c>
      <c r="Z278" t="s">
        <v>11</v>
      </c>
      <c r="AA278" t="s">
        <v>60</v>
      </c>
      <c r="AB278">
        <v>39</v>
      </c>
      <c r="AC278" t="s">
        <v>46</v>
      </c>
      <c r="AD278" t="s">
        <v>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25">
      <c r="A279" t="s">
        <v>121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41</v>
      </c>
      <c r="N279" t="s">
        <v>19</v>
      </c>
      <c r="O279">
        <v>2129</v>
      </c>
      <c r="P279" s="1">
        <v>19503</v>
      </c>
      <c r="Q279" t="s">
        <v>18</v>
      </c>
      <c r="R279" t="s">
        <v>58</v>
      </c>
      <c r="S279" t="s">
        <v>16</v>
      </c>
      <c r="T279" t="s">
        <v>15</v>
      </c>
      <c r="U279" t="s">
        <v>25</v>
      </c>
      <c r="V279" s="1">
        <v>40679</v>
      </c>
      <c r="W279" s="1">
        <v>42924</v>
      </c>
      <c r="X279" t="s">
        <v>37</v>
      </c>
      <c r="Y279" t="s">
        <v>36</v>
      </c>
      <c r="Z279" t="s">
        <v>11</v>
      </c>
      <c r="AA279" t="s">
        <v>72</v>
      </c>
      <c r="AB279">
        <v>16</v>
      </c>
      <c r="AC279" t="s">
        <v>34</v>
      </c>
      <c r="AD279" t="s">
        <v>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25">
      <c r="A280" t="s">
        <v>120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90</v>
      </c>
      <c r="N280" t="s">
        <v>119</v>
      </c>
      <c r="O280">
        <v>97756</v>
      </c>
      <c r="P280" s="1">
        <v>23869</v>
      </c>
      <c r="Q280" t="s">
        <v>18</v>
      </c>
      <c r="R280" t="s">
        <v>26</v>
      </c>
      <c r="S280" t="s">
        <v>16</v>
      </c>
      <c r="T280" t="s">
        <v>15</v>
      </c>
      <c r="U280" t="s">
        <v>49</v>
      </c>
      <c r="V280" s="1">
        <v>41911</v>
      </c>
      <c r="X280" t="s">
        <v>13</v>
      </c>
      <c r="Y280" t="s">
        <v>12</v>
      </c>
      <c r="Z280" t="s">
        <v>88</v>
      </c>
      <c r="AA280" t="s">
        <v>109</v>
      </c>
      <c r="AB280">
        <v>21</v>
      </c>
      <c r="AC280" t="s">
        <v>66</v>
      </c>
      <c r="AD280" t="s">
        <v>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25">
      <c r="A281" t="s">
        <v>118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20</v>
      </c>
      <c r="N281" t="s">
        <v>19</v>
      </c>
      <c r="O281">
        <v>2066</v>
      </c>
      <c r="P281" s="1">
        <v>23871</v>
      </c>
      <c r="Q281" t="s">
        <v>18</v>
      </c>
      <c r="R281" t="s">
        <v>26</v>
      </c>
      <c r="S281" t="s">
        <v>16</v>
      </c>
      <c r="T281" t="s">
        <v>15</v>
      </c>
      <c r="U281" t="s">
        <v>25</v>
      </c>
      <c r="V281" s="1">
        <v>40729</v>
      </c>
      <c r="W281" s="1">
        <v>42618</v>
      </c>
      <c r="X281" t="s">
        <v>117</v>
      </c>
      <c r="Y281" t="s">
        <v>36</v>
      </c>
      <c r="Z281" t="s">
        <v>11</v>
      </c>
      <c r="AA281" t="s">
        <v>55</v>
      </c>
      <c r="AB281">
        <v>11</v>
      </c>
      <c r="AC281" t="s">
        <v>66</v>
      </c>
      <c r="AD281" t="s">
        <v>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25">
      <c r="A282" t="s">
        <v>116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41</v>
      </c>
      <c r="N282" t="s">
        <v>19</v>
      </c>
      <c r="O282">
        <v>2472</v>
      </c>
      <c r="P282" s="1">
        <v>27653</v>
      </c>
      <c r="Q282" t="s">
        <v>40</v>
      </c>
      <c r="R282" t="s">
        <v>17</v>
      </c>
      <c r="S282" t="s">
        <v>16</v>
      </c>
      <c r="T282" t="s">
        <v>15</v>
      </c>
      <c r="U282" t="s">
        <v>25</v>
      </c>
      <c r="V282" s="1">
        <v>39258</v>
      </c>
      <c r="W282" s="1">
        <v>40420</v>
      </c>
      <c r="X282" t="s">
        <v>115</v>
      </c>
      <c r="Y282" t="s">
        <v>36</v>
      </c>
      <c r="Z282" t="s">
        <v>11</v>
      </c>
      <c r="AA282" t="s">
        <v>60</v>
      </c>
      <c r="AB282">
        <v>39</v>
      </c>
      <c r="AC282" t="s">
        <v>114</v>
      </c>
      <c r="AD282" t="s">
        <v>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25">
      <c r="A283" t="s">
        <v>113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20</v>
      </c>
      <c r="N283" t="s">
        <v>19</v>
      </c>
      <c r="O283">
        <v>2093</v>
      </c>
      <c r="P283" s="1">
        <v>24628</v>
      </c>
      <c r="Q283" t="s">
        <v>18</v>
      </c>
      <c r="R283" t="s">
        <v>52</v>
      </c>
      <c r="S283" t="s">
        <v>16</v>
      </c>
      <c r="T283" t="s">
        <v>15</v>
      </c>
      <c r="U283" t="s">
        <v>49</v>
      </c>
      <c r="V283" s="1">
        <v>41323</v>
      </c>
      <c r="X283" t="s">
        <v>13</v>
      </c>
      <c r="Y283" t="s">
        <v>12</v>
      </c>
      <c r="Z283" t="s">
        <v>11</v>
      </c>
      <c r="AA283" t="s">
        <v>35</v>
      </c>
      <c r="AB283">
        <v>12</v>
      </c>
      <c r="AC283" t="s">
        <v>66</v>
      </c>
      <c r="AD283" t="s">
        <v>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25">
      <c r="A284" t="s">
        <v>112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90</v>
      </c>
      <c r="N284" t="s">
        <v>111</v>
      </c>
      <c r="O284">
        <v>58782</v>
      </c>
      <c r="P284" s="1">
        <v>24852</v>
      </c>
      <c r="Q284" t="s">
        <v>40</v>
      </c>
      <c r="R284" t="s">
        <v>110</v>
      </c>
      <c r="S284" t="s">
        <v>16</v>
      </c>
      <c r="T284" t="s">
        <v>15</v>
      </c>
      <c r="U284" t="s">
        <v>25</v>
      </c>
      <c r="V284" s="1">
        <v>38726</v>
      </c>
      <c r="X284" t="s">
        <v>13</v>
      </c>
      <c r="Y284" t="s">
        <v>12</v>
      </c>
      <c r="Z284" t="s">
        <v>88</v>
      </c>
      <c r="AA284" t="s">
        <v>109</v>
      </c>
      <c r="AB284">
        <v>21</v>
      </c>
      <c r="AC284" t="s">
        <v>66</v>
      </c>
      <c r="AD284" t="s">
        <v>29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25">
      <c r="A285" t="s">
        <v>108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20</v>
      </c>
      <c r="N285" t="s">
        <v>19</v>
      </c>
      <c r="O285">
        <v>2021</v>
      </c>
      <c r="P285" s="1">
        <v>30452</v>
      </c>
      <c r="Q285" t="s">
        <v>18</v>
      </c>
      <c r="R285" t="s">
        <v>26</v>
      </c>
      <c r="S285" t="s">
        <v>16</v>
      </c>
      <c r="T285" t="s">
        <v>15</v>
      </c>
      <c r="U285" t="s">
        <v>25</v>
      </c>
      <c r="V285" s="1">
        <v>41687</v>
      </c>
      <c r="X285" t="s">
        <v>13</v>
      </c>
      <c r="Y285" t="s">
        <v>12</v>
      </c>
      <c r="Z285" t="s">
        <v>11</v>
      </c>
      <c r="AA285" t="s">
        <v>10</v>
      </c>
      <c r="AB285">
        <v>14</v>
      </c>
      <c r="AC285" t="s">
        <v>9</v>
      </c>
      <c r="AD285" t="s">
        <v>70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25">
      <c r="A286" t="s">
        <v>107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98</v>
      </c>
      <c r="N286" t="s">
        <v>19</v>
      </c>
      <c r="O286">
        <v>1420</v>
      </c>
      <c r="P286" s="1">
        <v>32268</v>
      </c>
      <c r="Q286" t="s">
        <v>40</v>
      </c>
      <c r="R286" t="s">
        <v>58</v>
      </c>
      <c r="S286" t="s">
        <v>16</v>
      </c>
      <c r="T286" t="s">
        <v>15</v>
      </c>
      <c r="U286" t="s">
        <v>25</v>
      </c>
      <c r="V286" s="1">
        <v>42009</v>
      </c>
      <c r="W286" s="1">
        <v>42412</v>
      </c>
      <c r="X286" t="s">
        <v>103</v>
      </c>
      <c r="Y286" t="s">
        <v>36</v>
      </c>
      <c r="Z286" t="s">
        <v>24</v>
      </c>
      <c r="AA286" t="s">
        <v>63</v>
      </c>
      <c r="AB286">
        <v>7</v>
      </c>
      <c r="AC286" t="s">
        <v>71</v>
      </c>
      <c r="AD286" t="s">
        <v>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25">
      <c r="A287" t="s">
        <v>106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105</v>
      </c>
      <c r="N287" t="s">
        <v>19</v>
      </c>
      <c r="O287">
        <v>2451</v>
      </c>
      <c r="P287" s="1">
        <v>30481</v>
      </c>
      <c r="Q287" t="s">
        <v>40</v>
      </c>
      <c r="R287" t="s">
        <v>26</v>
      </c>
      <c r="S287" t="s">
        <v>104</v>
      </c>
      <c r="T287" t="s">
        <v>15</v>
      </c>
      <c r="U287" t="s">
        <v>49</v>
      </c>
      <c r="V287" s="1">
        <v>41323</v>
      </c>
      <c r="W287" s="1">
        <v>43205</v>
      </c>
      <c r="X287" t="s">
        <v>103</v>
      </c>
      <c r="Y287" t="s">
        <v>36</v>
      </c>
      <c r="Z287" t="s">
        <v>102</v>
      </c>
      <c r="AA287" t="s">
        <v>101</v>
      </c>
      <c r="AB287">
        <v>10</v>
      </c>
      <c r="AC287" t="s">
        <v>46</v>
      </c>
      <c r="AD287" t="s">
        <v>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25">
      <c r="A288" t="s">
        <v>100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41</v>
      </c>
      <c r="N288" t="s">
        <v>19</v>
      </c>
      <c r="O288">
        <v>1778</v>
      </c>
      <c r="P288" s="1">
        <v>31121</v>
      </c>
      <c r="Q288" t="s">
        <v>18</v>
      </c>
      <c r="R288" t="s">
        <v>26</v>
      </c>
      <c r="S288" t="s">
        <v>16</v>
      </c>
      <c r="T288" t="s">
        <v>15</v>
      </c>
      <c r="U288" t="s">
        <v>25</v>
      </c>
      <c r="V288" s="1">
        <v>40553</v>
      </c>
      <c r="W288" s="1">
        <v>41822</v>
      </c>
      <c r="X288" t="s">
        <v>56</v>
      </c>
      <c r="Y288" t="s">
        <v>36</v>
      </c>
      <c r="Z288" t="s">
        <v>11</v>
      </c>
      <c r="AA288" t="s">
        <v>55</v>
      </c>
      <c r="AB288">
        <v>11</v>
      </c>
      <c r="AC288" t="s">
        <v>9</v>
      </c>
      <c r="AD288" t="s">
        <v>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25">
      <c r="A289" t="s">
        <v>99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98</v>
      </c>
      <c r="N289" t="s">
        <v>19</v>
      </c>
      <c r="O289">
        <v>2343</v>
      </c>
      <c r="P289" s="1">
        <v>25293</v>
      </c>
      <c r="Q289" t="s">
        <v>40</v>
      </c>
      <c r="R289" t="s">
        <v>58</v>
      </c>
      <c r="S289" t="s">
        <v>57</v>
      </c>
      <c r="T289" t="s">
        <v>15</v>
      </c>
      <c r="U289" t="s">
        <v>25</v>
      </c>
      <c r="V289" s="1">
        <v>42093</v>
      </c>
      <c r="X289" t="s">
        <v>13</v>
      </c>
      <c r="Y289" t="s">
        <v>12</v>
      </c>
      <c r="Z289" t="s">
        <v>24</v>
      </c>
      <c r="AA289" t="s">
        <v>63</v>
      </c>
      <c r="AB289">
        <v>7</v>
      </c>
      <c r="AC289" t="s">
        <v>22</v>
      </c>
      <c r="AD289" t="s">
        <v>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25">
      <c r="A290" t="s">
        <v>97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90</v>
      </c>
      <c r="N290" t="s">
        <v>96</v>
      </c>
      <c r="O290">
        <v>85006</v>
      </c>
      <c r="P290" s="1">
        <v>33381</v>
      </c>
      <c r="Q290" t="s">
        <v>18</v>
      </c>
      <c r="R290" t="s">
        <v>58</v>
      </c>
      <c r="S290" t="s">
        <v>16</v>
      </c>
      <c r="T290" t="s">
        <v>15</v>
      </c>
      <c r="U290" t="s">
        <v>95</v>
      </c>
      <c r="V290" s="1">
        <v>40729</v>
      </c>
      <c r="X290" t="s">
        <v>13</v>
      </c>
      <c r="Y290" t="s">
        <v>12</v>
      </c>
      <c r="Z290" t="s">
        <v>88</v>
      </c>
      <c r="AA290" t="s">
        <v>87</v>
      </c>
      <c r="AB290">
        <v>17</v>
      </c>
      <c r="AC290" t="s">
        <v>66</v>
      </c>
      <c r="AD290" t="s">
        <v>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25">
      <c r="A291" t="s">
        <v>94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20</v>
      </c>
      <c r="N291" t="s">
        <v>19</v>
      </c>
      <c r="O291">
        <v>2171</v>
      </c>
      <c r="P291" s="1">
        <v>31808</v>
      </c>
      <c r="Q291" t="s">
        <v>40</v>
      </c>
      <c r="R291" t="s">
        <v>52</v>
      </c>
      <c r="S291" t="s">
        <v>16</v>
      </c>
      <c r="T291" t="s">
        <v>15</v>
      </c>
      <c r="U291" t="s">
        <v>25</v>
      </c>
      <c r="V291" s="1">
        <v>41134</v>
      </c>
      <c r="W291" s="1">
        <v>42405</v>
      </c>
      <c r="X291" t="s">
        <v>93</v>
      </c>
      <c r="Y291" t="s">
        <v>36</v>
      </c>
      <c r="Z291" t="s">
        <v>11</v>
      </c>
      <c r="AA291" t="s">
        <v>39</v>
      </c>
      <c r="AB291">
        <v>20</v>
      </c>
      <c r="AC291" t="s">
        <v>9</v>
      </c>
      <c r="AD291" t="s">
        <v>29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25">
      <c r="A292" t="s">
        <v>92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75</v>
      </c>
      <c r="N292" t="s">
        <v>19</v>
      </c>
      <c r="O292">
        <v>2169</v>
      </c>
      <c r="P292" s="1">
        <v>25121</v>
      </c>
      <c r="Q292" t="s">
        <v>40</v>
      </c>
      <c r="R292" t="s">
        <v>52</v>
      </c>
      <c r="S292" t="s">
        <v>16</v>
      </c>
      <c r="T292" t="s">
        <v>15</v>
      </c>
      <c r="U292" t="s">
        <v>25</v>
      </c>
      <c r="V292" s="1">
        <v>40756</v>
      </c>
      <c r="X292" t="s">
        <v>13</v>
      </c>
      <c r="Y292" t="s">
        <v>12</v>
      </c>
      <c r="Z292" t="s">
        <v>11</v>
      </c>
      <c r="AA292" t="s">
        <v>30</v>
      </c>
      <c r="AB292">
        <v>2</v>
      </c>
      <c r="AC292" t="s">
        <v>22</v>
      </c>
      <c r="AD292" t="s">
        <v>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25">
      <c r="A293" t="s">
        <v>91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90</v>
      </c>
      <c r="N293" t="s">
        <v>89</v>
      </c>
      <c r="O293">
        <v>4063</v>
      </c>
      <c r="P293" s="1">
        <v>32700</v>
      </c>
      <c r="Q293" t="s">
        <v>40</v>
      </c>
      <c r="R293" t="s">
        <v>26</v>
      </c>
      <c r="S293" t="s">
        <v>16</v>
      </c>
      <c r="T293" t="s">
        <v>15</v>
      </c>
      <c r="U293" t="s">
        <v>14</v>
      </c>
      <c r="V293" s="1">
        <v>40973</v>
      </c>
      <c r="X293" t="s">
        <v>13</v>
      </c>
      <c r="Y293" t="s">
        <v>12</v>
      </c>
      <c r="Z293" t="s">
        <v>88</v>
      </c>
      <c r="AA293" t="s">
        <v>87</v>
      </c>
      <c r="AB293">
        <v>17</v>
      </c>
      <c r="AC293" t="s">
        <v>54</v>
      </c>
      <c r="AD293" t="s">
        <v>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25">
      <c r="A294" t="s">
        <v>86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85</v>
      </c>
      <c r="N294" t="s">
        <v>19</v>
      </c>
      <c r="O294">
        <v>1960</v>
      </c>
      <c r="P294" s="1">
        <v>31631</v>
      </c>
      <c r="Q294" t="s">
        <v>40</v>
      </c>
      <c r="R294" t="s">
        <v>58</v>
      </c>
      <c r="S294" t="s">
        <v>16</v>
      </c>
      <c r="T294" t="s">
        <v>15</v>
      </c>
      <c r="U294" t="s">
        <v>49</v>
      </c>
      <c r="V294" s="1">
        <v>42051</v>
      </c>
      <c r="W294" s="1">
        <v>42788</v>
      </c>
      <c r="X294" t="s">
        <v>84</v>
      </c>
      <c r="Y294" t="s">
        <v>81</v>
      </c>
      <c r="Z294" t="s">
        <v>24</v>
      </c>
      <c r="AA294" t="s">
        <v>23</v>
      </c>
      <c r="AB294">
        <v>4</v>
      </c>
      <c r="AC294" t="s">
        <v>22</v>
      </c>
      <c r="AD294" t="s">
        <v>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25">
      <c r="A295" t="s">
        <v>83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20</v>
      </c>
      <c r="N295" t="s">
        <v>19</v>
      </c>
      <c r="O295">
        <v>2747</v>
      </c>
      <c r="P295" s="1">
        <v>31566</v>
      </c>
      <c r="Q295" t="s">
        <v>18</v>
      </c>
      <c r="R295" t="s">
        <v>58</v>
      </c>
      <c r="S295" t="s">
        <v>16</v>
      </c>
      <c r="T295" t="s">
        <v>15</v>
      </c>
      <c r="U295" t="s">
        <v>25</v>
      </c>
      <c r="V295" s="1">
        <v>40812</v>
      </c>
      <c r="W295" s="1">
        <v>42408</v>
      </c>
      <c r="X295" t="s">
        <v>82</v>
      </c>
      <c r="Y295" t="s">
        <v>81</v>
      </c>
      <c r="Z295" t="s">
        <v>11</v>
      </c>
      <c r="AA295" t="s">
        <v>80</v>
      </c>
      <c r="AB295">
        <v>18</v>
      </c>
      <c r="AC295" t="s">
        <v>34</v>
      </c>
      <c r="AD295" t="s">
        <v>29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25">
      <c r="A296" t="s">
        <v>79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20</v>
      </c>
      <c r="N296" t="s">
        <v>19</v>
      </c>
      <c r="O296">
        <v>2124</v>
      </c>
      <c r="P296" s="1">
        <v>31143</v>
      </c>
      <c r="Q296" t="s">
        <v>18</v>
      </c>
      <c r="R296" t="s">
        <v>26</v>
      </c>
      <c r="S296" t="s">
        <v>16</v>
      </c>
      <c r="T296" t="s">
        <v>15</v>
      </c>
      <c r="U296" t="s">
        <v>25</v>
      </c>
      <c r="V296" s="1">
        <v>42190</v>
      </c>
      <c r="X296" t="s">
        <v>13</v>
      </c>
      <c r="Y296" t="s">
        <v>12</v>
      </c>
      <c r="Z296" t="s">
        <v>11</v>
      </c>
      <c r="AA296" t="s">
        <v>78</v>
      </c>
      <c r="AB296">
        <v>22</v>
      </c>
      <c r="AC296" t="s">
        <v>9</v>
      </c>
      <c r="AD296" t="s">
        <v>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25">
      <c r="A297" t="s">
        <v>77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41</v>
      </c>
      <c r="N297" t="s">
        <v>19</v>
      </c>
      <c r="O297">
        <v>2459</v>
      </c>
      <c r="P297" s="1">
        <v>27800</v>
      </c>
      <c r="Q297" t="s">
        <v>40</v>
      </c>
      <c r="R297" t="s">
        <v>26</v>
      </c>
      <c r="S297" t="s">
        <v>16</v>
      </c>
      <c r="T297" t="s">
        <v>15</v>
      </c>
      <c r="U297" t="s">
        <v>49</v>
      </c>
      <c r="V297" s="1">
        <v>41869</v>
      </c>
      <c r="X297" t="s">
        <v>13</v>
      </c>
      <c r="Y297" t="s">
        <v>12</v>
      </c>
      <c r="Z297" t="s">
        <v>11</v>
      </c>
      <c r="AA297" t="s">
        <v>47</v>
      </c>
      <c r="AB297">
        <v>19</v>
      </c>
      <c r="AC297" t="s">
        <v>22</v>
      </c>
      <c r="AD297" t="s">
        <v>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25">
      <c r="A298" t="s">
        <v>76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75</v>
      </c>
      <c r="N298" t="s">
        <v>19</v>
      </c>
      <c r="O298">
        <v>2478</v>
      </c>
      <c r="P298" s="1">
        <v>20407</v>
      </c>
      <c r="Q298" t="s">
        <v>18</v>
      </c>
      <c r="R298" t="s">
        <v>58</v>
      </c>
      <c r="S298" t="s">
        <v>16</v>
      </c>
      <c r="T298" t="s">
        <v>15</v>
      </c>
      <c r="U298" t="s">
        <v>49</v>
      </c>
      <c r="V298" s="1">
        <v>40812</v>
      </c>
      <c r="W298" s="1">
        <v>40910</v>
      </c>
      <c r="X298" t="s">
        <v>37</v>
      </c>
      <c r="Y298" t="s">
        <v>36</v>
      </c>
      <c r="Z298" t="s">
        <v>11</v>
      </c>
      <c r="AA298" t="s">
        <v>30</v>
      </c>
      <c r="AB298">
        <v>2</v>
      </c>
      <c r="AC298" t="s">
        <v>46</v>
      </c>
      <c r="AD298" t="s">
        <v>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25">
      <c r="A299" t="s">
        <v>74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20</v>
      </c>
      <c r="N299" t="s">
        <v>19</v>
      </c>
      <c r="O299">
        <v>1887</v>
      </c>
      <c r="P299" s="1">
        <v>29435</v>
      </c>
      <c r="Q299" t="s">
        <v>18</v>
      </c>
      <c r="R299" t="s">
        <v>26</v>
      </c>
      <c r="S299" t="s">
        <v>16</v>
      </c>
      <c r="T299" t="s">
        <v>15</v>
      </c>
      <c r="U299" t="s">
        <v>25</v>
      </c>
      <c r="V299" s="1">
        <v>41134</v>
      </c>
      <c r="W299" s="1">
        <v>42248</v>
      </c>
      <c r="X299" t="s">
        <v>73</v>
      </c>
      <c r="Y299" t="s">
        <v>36</v>
      </c>
      <c r="Z299" t="s">
        <v>11</v>
      </c>
      <c r="AA299" t="s">
        <v>72</v>
      </c>
      <c r="AB299">
        <v>16</v>
      </c>
      <c r="AC299" t="s">
        <v>71</v>
      </c>
      <c r="AD299" t="s">
        <v>70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25">
      <c r="A300" t="s">
        <v>69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68</v>
      </c>
      <c r="N300" t="s">
        <v>19</v>
      </c>
      <c r="O300">
        <v>1887</v>
      </c>
      <c r="P300" s="1">
        <v>29775</v>
      </c>
      <c r="Q300" t="s">
        <v>40</v>
      </c>
      <c r="R300" t="s">
        <v>26</v>
      </c>
      <c r="S300" t="s">
        <v>16</v>
      </c>
      <c r="T300" t="s">
        <v>15</v>
      </c>
      <c r="U300" t="s">
        <v>14</v>
      </c>
      <c r="V300" s="1">
        <v>42781</v>
      </c>
      <c r="X300" t="s">
        <v>13</v>
      </c>
      <c r="Y300" t="s">
        <v>12</v>
      </c>
      <c r="Z300" t="s">
        <v>24</v>
      </c>
      <c r="AA300" t="s">
        <v>67</v>
      </c>
      <c r="AB300">
        <v>13</v>
      </c>
      <c r="AC300" t="s">
        <v>66</v>
      </c>
      <c r="AD300" t="s">
        <v>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25">
      <c r="A301" t="s">
        <v>65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64</v>
      </c>
      <c r="N301" t="s">
        <v>19</v>
      </c>
      <c r="O301">
        <v>2453</v>
      </c>
      <c r="P301" s="1">
        <v>28612</v>
      </c>
      <c r="Q301" t="s">
        <v>18</v>
      </c>
      <c r="R301" t="s">
        <v>17</v>
      </c>
      <c r="S301" t="s">
        <v>16</v>
      </c>
      <c r="T301" t="s">
        <v>15</v>
      </c>
      <c r="U301" t="s">
        <v>14</v>
      </c>
      <c r="V301" s="1">
        <v>42093</v>
      </c>
      <c r="X301" t="s">
        <v>13</v>
      </c>
      <c r="Y301" t="s">
        <v>12</v>
      </c>
      <c r="Z301" t="s">
        <v>24</v>
      </c>
      <c r="AA301" t="s">
        <v>63</v>
      </c>
      <c r="AB301">
        <v>7</v>
      </c>
      <c r="AC301" t="s">
        <v>22</v>
      </c>
      <c r="AD301" t="s">
        <v>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25">
      <c r="A302" t="s">
        <v>62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20</v>
      </c>
      <c r="N302" t="s">
        <v>19</v>
      </c>
      <c r="O302">
        <v>2030</v>
      </c>
      <c r="P302" s="1">
        <v>31921</v>
      </c>
      <c r="Q302" t="s">
        <v>40</v>
      </c>
      <c r="R302" t="s">
        <v>26</v>
      </c>
      <c r="S302" t="s">
        <v>16</v>
      </c>
      <c r="T302" t="s">
        <v>50</v>
      </c>
      <c r="U302" t="s">
        <v>25</v>
      </c>
      <c r="V302" s="1">
        <v>40553</v>
      </c>
      <c r="W302" s="1">
        <v>41774</v>
      </c>
      <c r="X302" t="s">
        <v>61</v>
      </c>
      <c r="Y302" t="s">
        <v>36</v>
      </c>
      <c r="Z302" t="s">
        <v>11</v>
      </c>
      <c r="AA302" t="s">
        <v>60</v>
      </c>
      <c r="AB302">
        <v>39</v>
      </c>
      <c r="AC302" t="s">
        <v>9</v>
      </c>
      <c r="AD302" t="s">
        <v>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25">
      <c r="A303" t="s">
        <v>59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20</v>
      </c>
      <c r="N303" t="s">
        <v>19</v>
      </c>
      <c r="O303">
        <v>2324</v>
      </c>
      <c r="P303" s="1">
        <v>23994</v>
      </c>
      <c r="Q303" t="s">
        <v>40</v>
      </c>
      <c r="R303" t="s">
        <v>58</v>
      </c>
      <c r="S303" t="s">
        <v>57</v>
      </c>
      <c r="T303" t="s">
        <v>15</v>
      </c>
      <c r="U303" t="s">
        <v>25</v>
      </c>
      <c r="V303" s="1">
        <v>40679</v>
      </c>
      <c r="W303" s="1">
        <v>42254</v>
      </c>
      <c r="X303" t="s">
        <v>56</v>
      </c>
      <c r="Y303" t="s">
        <v>36</v>
      </c>
      <c r="Z303" t="s">
        <v>11</v>
      </c>
      <c r="AA303" t="s">
        <v>55</v>
      </c>
      <c r="AB303">
        <v>11</v>
      </c>
      <c r="AC303" t="s">
        <v>54</v>
      </c>
      <c r="AD303" t="s">
        <v>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25">
      <c r="A304" t="s">
        <v>53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20</v>
      </c>
      <c r="N304" t="s">
        <v>19</v>
      </c>
      <c r="O304">
        <v>1876</v>
      </c>
      <c r="P304" s="1">
        <v>30527</v>
      </c>
      <c r="Q304" t="s">
        <v>18</v>
      </c>
      <c r="R304" t="s">
        <v>52</v>
      </c>
      <c r="S304" t="s">
        <v>16</v>
      </c>
      <c r="T304" t="s">
        <v>15</v>
      </c>
      <c r="U304" t="s">
        <v>25</v>
      </c>
      <c r="V304" s="1">
        <v>40553</v>
      </c>
      <c r="W304" s="1">
        <v>41043</v>
      </c>
      <c r="X304" t="s">
        <v>37</v>
      </c>
      <c r="Y304" t="s">
        <v>36</v>
      </c>
      <c r="Z304" t="s">
        <v>11</v>
      </c>
      <c r="AA304" t="s">
        <v>47</v>
      </c>
      <c r="AB304">
        <v>19</v>
      </c>
      <c r="AC304" t="s">
        <v>34</v>
      </c>
      <c r="AD304" t="s">
        <v>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25">
      <c r="A305" t="s">
        <v>51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20</v>
      </c>
      <c r="N305" t="s">
        <v>19</v>
      </c>
      <c r="O305">
        <v>2109</v>
      </c>
      <c r="P305" s="1">
        <v>25478</v>
      </c>
      <c r="Q305" t="s">
        <v>18</v>
      </c>
      <c r="R305" t="s">
        <v>26</v>
      </c>
      <c r="S305" t="s">
        <v>16</v>
      </c>
      <c r="T305" t="s">
        <v>50</v>
      </c>
      <c r="U305" t="s">
        <v>49</v>
      </c>
      <c r="V305" s="1">
        <v>40917</v>
      </c>
      <c r="W305" s="1">
        <v>42182</v>
      </c>
      <c r="X305" t="s">
        <v>48</v>
      </c>
      <c r="Y305" t="s">
        <v>36</v>
      </c>
      <c r="Z305" t="s">
        <v>11</v>
      </c>
      <c r="AA305" t="s">
        <v>47</v>
      </c>
      <c r="AB305">
        <v>19</v>
      </c>
      <c r="AC305" t="s">
        <v>46</v>
      </c>
      <c r="AD305" t="s">
        <v>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25">
      <c r="A306" t="s">
        <v>45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41</v>
      </c>
      <c r="N306" t="s">
        <v>19</v>
      </c>
      <c r="O306">
        <v>2045</v>
      </c>
      <c r="P306" s="1">
        <v>21496</v>
      </c>
      <c r="Q306" t="s">
        <v>40</v>
      </c>
      <c r="R306" t="s">
        <v>26</v>
      </c>
      <c r="S306" t="s">
        <v>16</v>
      </c>
      <c r="T306" t="s">
        <v>15</v>
      </c>
      <c r="U306" t="s">
        <v>25</v>
      </c>
      <c r="V306" s="1">
        <v>41281</v>
      </c>
      <c r="W306" s="1">
        <v>42421</v>
      </c>
      <c r="X306" t="s">
        <v>44</v>
      </c>
      <c r="Y306" t="s">
        <v>36</v>
      </c>
      <c r="Z306" t="s">
        <v>11</v>
      </c>
      <c r="AA306" t="s">
        <v>35</v>
      </c>
      <c r="AB306">
        <v>12</v>
      </c>
      <c r="AC306" t="s">
        <v>9</v>
      </c>
      <c r="AD306" t="s">
        <v>29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25">
      <c r="A307" t="s">
        <v>43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41</v>
      </c>
      <c r="N307" t="s">
        <v>19</v>
      </c>
      <c r="O307">
        <v>2302</v>
      </c>
      <c r="P307" s="1">
        <v>31157</v>
      </c>
      <c r="Q307" t="s">
        <v>18</v>
      </c>
      <c r="R307" t="s">
        <v>26</v>
      </c>
      <c r="S307" t="s">
        <v>16</v>
      </c>
      <c r="T307" t="s">
        <v>15</v>
      </c>
      <c r="U307" t="s">
        <v>25</v>
      </c>
      <c r="V307" s="1">
        <v>41911</v>
      </c>
      <c r="X307" t="s">
        <v>13</v>
      </c>
      <c r="Y307" t="s">
        <v>12</v>
      </c>
      <c r="Z307" t="s">
        <v>11</v>
      </c>
      <c r="AA307" t="s">
        <v>10</v>
      </c>
      <c r="AB307">
        <v>14</v>
      </c>
      <c r="AC307" t="s">
        <v>9</v>
      </c>
      <c r="AD307" t="s">
        <v>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25">
      <c r="A308" t="s">
        <v>42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41</v>
      </c>
      <c r="N308" t="s">
        <v>19</v>
      </c>
      <c r="O308">
        <v>1810</v>
      </c>
      <c r="P308" s="1">
        <v>31178</v>
      </c>
      <c r="Q308" t="s">
        <v>40</v>
      </c>
      <c r="R308" t="s">
        <v>26</v>
      </c>
      <c r="S308" t="s">
        <v>16</v>
      </c>
      <c r="T308" t="s">
        <v>15</v>
      </c>
      <c r="U308" t="s">
        <v>25</v>
      </c>
      <c r="V308" s="1">
        <v>41827</v>
      </c>
      <c r="X308" t="s">
        <v>13</v>
      </c>
      <c r="Y308" t="s">
        <v>12</v>
      </c>
      <c r="Z308" t="s">
        <v>11</v>
      </c>
      <c r="AA308" t="s">
        <v>39</v>
      </c>
      <c r="AB308">
        <v>20</v>
      </c>
      <c r="AC308" t="s">
        <v>9</v>
      </c>
      <c r="AD308" t="s">
        <v>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25">
      <c r="A309" t="s">
        <v>38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20</v>
      </c>
      <c r="N309" t="s">
        <v>19</v>
      </c>
      <c r="O309">
        <v>2458</v>
      </c>
      <c r="P309" s="1">
        <v>30075</v>
      </c>
      <c r="Q309" t="s">
        <v>18</v>
      </c>
      <c r="R309" t="s">
        <v>26</v>
      </c>
      <c r="S309" t="s">
        <v>16</v>
      </c>
      <c r="T309" t="s">
        <v>15</v>
      </c>
      <c r="U309" t="s">
        <v>14</v>
      </c>
      <c r="V309" s="1">
        <v>39693</v>
      </c>
      <c r="W309" s="1">
        <v>42276</v>
      </c>
      <c r="X309" t="s">
        <v>37</v>
      </c>
      <c r="Y309" t="s">
        <v>36</v>
      </c>
      <c r="Z309" t="s">
        <v>11</v>
      </c>
      <c r="AA309" t="s">
        <v>35</v>
      </c>
      <c r="AB309">
        <v>12</v>
      </c>
      <c r="AC309" t="s">
        <v>34</v>
      </c>
      <c r="AD309" t="s">
        <v>33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25">
      <c r="A310" t="s">
        <v>32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31</v>
      </c>
      <c r="N310" t="s">
        <v>19</v>
      </c>
      <c r="O310">
        <v>2067</v>
      </c>
      <c r="P310" s="1">
        <v>29097</v>
      </c>
      <c r="Q310" t="s">
        <v>18</v>
      </c>
      <c r="R310" t="s">
        <v>26</v>
      </c>
      <c r="S310" t="s">
        <v>16</v>
      </c>
      <c r="T310" t="s">
        <v>15</v>
      </c>
      <c r="U310" t="s">
        <v>25</v>
      </c>
      <c r="V310" s="1">
        <v>40278</v>
      </c>
      <c r="X310" t="s">
        <v>13</v>
      </c>
      <c r="Y310" t="s">
        <v>12</v>
      </c>
      <c r="Z310" t="s">
        <v>24</v>
      </c>
      <c r="AA310" t="s">
        <v>30</v>
      </c>
      <c r="AB310">
        <v>2</v>
      </c>
      <c r="AC310" t="s">
        <v>22</v>
      </c>
      <c r="AD310" t="s">
        <v>29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25">
      <c r="A311" t="s">
        <v>28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27</v>
      </c>
      <c r="N311" t="s">
        <v>19</v>
      </c>
      <c r="O311">
        <v>2148</v>
      </c>
      <c r="P311" s="1">
        <v>28910</v>
      </c>
      <c r="Q311" t="s">
        <v>18</v>
      </c>
      <c r="R311" t="s">
        <v>26</v>
      </c>
      <c r="S311" t="s">
        <v>16</v>
      </c>
      <c r="T311" t="s">
        <v>15</v>
      </c>
      <c r="U311" t="s">
        <v>25</v>
      </c>
      <c r="V311" s="1">
        <v>42093</v>
      </c>
      <c r="X311" t="s">
        <v>13</v>
      </c>
      <c r="Y311" t="s">
        <v>12</v>
      </c>
      <c r="Z311" t="s">
        <v>24</v>
      </c>
      <c r="AA311" t="s">
        <v>23</v>
      </c>
      <c r="AB311">
        <v>4</v>
      </c>
      <c r="AC311" t="s">
        <v>22</v>
      </c>
      <c r="AD311" t="s">
        <v>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25">
      <c r="A312" t="s">
        <v>21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20</v>
      </c>
      <c r="N312" t="s">
        <v>19</v>
      </c>
      <c r="O312">
        <v>1730</v>
      </c>
      <c r="P312" s="1">
        <v>28719</v>
      </c>
      <c r="Q312" t="s">
        <v>18</v>
      </c>
      <c r="R312" t="s">
        <v>17</v>
      </c>
      <c r="S312" t="s">
        <v>16</v>
      </c>
      <c r="T312" t="s">
        <v>15</v>
      </c>
      <c r="U312" t="s">
        <v>14</v>
      </c>
      <c r="V312" s="1">
        <v>41911</v>
      </c>
      <c r="X312" t="s">
        <v>13</v>
      </c>
      <c r="Y312" t="s">
        <v>12</v>
      </c>
      <c r="Z312" t="s">
        <v>11</v>
      </c>
      <c r="AA312" t="s">
        <v>10</v>
      </c>
      <c r="AB312">
        <v>14</v>
      </c>
      <c r="AC312" t="s">
        <v>9</v>
      </c>
      <c r="AD312" t="s">
        <v>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A761-3949-4C7A-960D-3EB7DC707060}">
  <dimension ref="A1:C37"/>
  <sheetViews>
    <sheetView workbookViewId="0">
      <selection activeCell="E4" sqref="E4"/>
    </sheetView>
  </sheetViews>
  <sheetFormatPr defaultRowHeight="15" x14ac:dyDescent="0.25"/>
  <cols>
    <col min="1" max="1" width="22.7109375" style="3" customWidth="1"/>
    <col min="2" max="2" width="94.28515625" style="3" customWidth="1"/>
    <col min="3" max="3" width="20.140625" style="3" customWidth="1"/>
    <col min="4" max="16384" width="9.140625" style="3"/>
  </cols>
  <sheetData>
    <row r="1" spans="1:3" ht="21" x14ac:dyDescent="0.35">
      <c r="A1" s="4" t="s">
        <v>496</v>
      </c>
      <c r="B1" s="5" t="s">
        <v>542</v>
      </c>
    </row>
    <row r="2" spans="1:3" x14ac:dyDescent="0.25">
      <c r="A2" t="s">
        <v>497</v>
      </c>
      <c r="B2" t="s">
        <v>498</v>
      </c>
      <c r="C2" t="s">
        <v>499</v>
      </c>
    </row>
    <row r="3" spans="1:3" x14ac:dyDescent="0.25">
      <c r="A3" s="2" t="s">
        <v>500</v>
      </c>
      <c r="B3" s="2" t="s">
        <v>502</v>
      </c>
      <c r="C3" s="2" t="s">
        <v>537</v>
      </c>
    </row>
    <row r="4" spans="1:3" x14ac:dyDescent="0.25">
      <c r="A4" s="2" t="s">
        <v>494</v>
      </c>
      <c r="B4" s="2" t="s">
        <v>503</v>
      </c>
      <c r="C4" s="2" t="s">
        <v>537</v>
      </c>
    </row>
    <row r="5" spans="1:3" x14ac:dyDescent="0.25">
      <c r="A5" s="2" t="s">
        <v>493</v>
      </c>
      <c r="B5" s="2" t="s">
        <v>504</v>
      </c>
      <c r="C5" s="2" t="s">
        <v>538</v>
      </c>
    </row>
    <row r="6" spans="1:3" x14ac:dyDescent="0.25">
      <c r="A6" s="2" t="s">
        <v>492</v>
      </c>
      <c r="B6" s="2" t="s">
        <v>505</v>
      </c>
      <c r="C6" s="2" t="s">
        <v>539</v>
      </c>
    </row>
    <row r="7" spans="1:3" x14ac:dyDescent="0.25">
      <c r="A7" s="2" t="s">
        <v>490</v>
      </c>
      <c r="B7" s="2" t="s">
        <v>506</v>
      </c>
      <c r="C7" s="2" t="s">
        <v>539</v>
      </c>
    </row>
    <row r="8" spans="1:3" x14ac:dyDescent="0.25">
      <c r="A8" s="2" t="s">
        <v>489</v>
      </c>
      <c r="B8" s="2" t="s">
        <v>507</v>
      </c>
      <c r="C8" s="2" t="s">
        <v>539</v>
      </c>
    </row>
    <row r="9" spans="1:3" x14ac:dyDescent="0.25">
      <c r="A9" s="2" t="s">
        <v>488</v>
      </c>
      <c r="B9" s="2" t="s">
        <v>508</v>
      </c>
      <c r="C9" s="2" t="s">
        <v>539</v>
      </c>
    </row>
    <row r="10" spans="1:3" x14ac:dyDescent="0.25">
      <c r="A10" s="2" t="s">
        <v>487</v>
      </c>
      <c r="B10" s="2" t="s">
        <v>509</v>
      </c>
      <c r="C10" s="2" t="s">
        <v>538</v>
      </c>
    </row>
    <row r="11" spans="1:3" x14ac:dyDescent="0.25">
      <c r="A11" s="2" t="s">
        <v>486</v>
      </c>
      <c r="B11" s="2" t="s">
        <v>510</v>
      </c>
      <c r="C11" s="2" t="s">
        <v>540</v>
      </c>
    </row>
    <row r="12" spans="1:3" x14ac:dyDescent="0.25">
      <c r="A12" s="2" t="s">
        <v>485</v>
      </c>
      <c r="B12" s="2" t="s">
        <v>511</v>
      </c>
      <c r="C12" s="2" t="s">
        <v>538</v>
      </c>
    </row>
    <row r="13" spans="1:3" x14ac:dyDescent="0.25">
      <c r="A13" s="2" t="s">
        <v>484</v>
      </c>
      <c r="B13" s="2" t="s">
        <v>512</v>
      </c>
      <c r="C13" s="2" t="s">
        <v>539</v>
      </c>
    </row>
    <row r="14" spans="1:3" x14ac:dyDescent="0.25">
      <c r="A14" s="2" t="s">
        <v>483</v>
      </c>
      <c r="B14" s="2" t="s">
        <v>513</v>
      </c>
      <c r="C14" s="2" t="s">
        <v>537</v>
      </c>
    </row>
    <row r="15" spans="1:3" x14ac:dyDescent="0.25">
      <c r="A15" s="2" t="s">
        <v>482</v>
      </c>
      <c r="B15" s="2" t="s">
        <v>514</v>
      </c>
      <c r="C15" s="2" t="s">
        <v>537</v>
      </c>
    </row>
    <row r="16" spans="1:3" x14ac:dyDescent="0.25">
      <c r="A16" s="2" t="s">
        <v>481</v>
      </c>
      <c r="B16" s="2" t="s">
        <v>515</v>
      </c>
      <c r="C16" s="2" t="s">
        <v>537</v>
      </c>
    </row>
    <row r="17" spans="1:3" x14ac:dyDescent="0.25">
      <c r="A17" s="2" t="s">
        <v>480</v>
      </c>
      <c r="B17" s="2" t="s">
        <v>516</v>
      </c>
      <c r="C17" s="2" t="s">
        <v>541</v>
      </c>
    </row>
    <row r="18" spans="1:3" x14ac:dyDescent="0.25">
      <c r="A18" s="2" t="s">
        <v>479</v>
      </c>
      <c r="B18" s="2" t="s">
        <v>517</v>
      </c>
      <c r="C18" s="2" t="s">
        <v>537</v>
      </c>
    </row>
    <row r="19" spans="1:3" x14ac:dyDescent="0.25">
      <c r="A19" s="2" t="s">
        <v>478</v>
      </c>
      <c r="B19" s="2" t="s">
        <v>518</v>
      </c>
      <c r="C19" s="2" t="s">
        <v>537</v>
      </c>
    </row>
    <row r="20" spans="1:3" x14ac:dyDescent="0.25">
      <c r="A20" s="2" t="s">
        <v>477</v>
      </c>
      <c r="B20" s="2" t="s">
        <v>519</v>
      </c>
      <c r="C20" s="2" t="s">
        <v>537</v>
      </c>
    </row>
    <row r="21" spans="1:3" x14ac:dyDescent="0.25">
      <c r="A21" s="2" t="s">
        <v>476</v>
      </c>
      <c r="B21" s="2" t="s">
        <v>520</v>
      </c>
      <c r="C21" s="2" t="s">
        <v>537</v>
      </c>
    </row>
    <row r="22" spans="1:3" x14ac:dyDescent="0.25">
      <c r="A22" s="2" t="s">
        <v>475</v>
      </c>
      <c r="B22" s="2" t="s">
        <v>521</v>
      </c>
      <c r="C22" s="2" t="s">
        <v>537</v>
      </c>
    </row>
    <row r="23" spans="1:3" x14ac:dyDescent="0.25">
      <c r="A23" s="2" t="s">
        <v>474</v>
      </c>
      <c r="B23" s="2" t="s">
        <v>522</v>
      </c>
      <c r="C23" s="2" t="s">
        <v>541</v>
      </c>
    </row>
    <row r="24" spans="1:3" x14ac:dyDescent="0.25">
      <c r="A24" s="2" t="s">
        <v>473</v>
      </c>
      <c r="B24" s="2" t="s">
        <v>523</v>
      </c>
      <c r="C24" s="2" t="s">
        <v>541</v>
      </c>
    </row>
    <row r="25" spans="1:3" x14ac:dyDescent="0.25">
      <c r="A25" s="2" t="s">
        <v>472</v>
      </c>
      <c r="B25" s="2" t="s">
        <v>524</v>
      </c>
      <c r="C25" s="2" t="s">
        <v>537</v>
      </c>
    </row>
    <row r="26" spans="1:3" x14ac:dyDescent="0.25">
      <c r="A26" s="2" t="s">
        <v>471</v>
      </c>
      <c r="B26" s="2" t="s">
        <v>525</v>
      </c>
      <c r="C26" s="2" t="s">
        <v>537</v>
      </c>
    </row>
    <row r="27" spans="1:3" x14ac:dyDescent="0.25">
      <c r="A27" s="2" t="s">
        <v>470</v>
      </c>
      <c r="B27" s="2" t="s">
        <v>526</v>
      </c>
      <c r="C27" s="2" t="s">
        <v>537</v>
      </c>
    </row>
    <row r="28" spans="1:3" x14ac:dyDescent="0.25">
      <c r="A28" s="2" t="s">
        <v>469</v>
      </c>
      <c r="B28" s="2" t="s">
        <v>527</v>
      </c>
      <c r="C28" s="2" t="s">
        <v>537</v>
      </c>
    </row>
    <row r="29" spans="1:3" x14ac:dyDescent="0.25">
      <c r="A29" s="2" t="s">
        <v>468</v>
      </c>
      <c r="B29" s="2" t="s">
        <v>528</v>
      </c>
      <c r="C29" s="2" t="s">
        <v>539</v>
      </c>
    </row>
    <row r="30" spans="1:3" x14ac:dyDescent="0.25">
      <c r="A30" s="2" t="s">
        <v>467</v>
      </c>
      <c r="B30" s="2" t="s">
        <v>529</v>
      </c>
      <c r="C30" s="2" t="s">
        <v>537</v>
      </c>
    </row>
    <row r="31" spans="1:3" x14ac:dyDescent="0.25">
      <c r="A31" s="2" t="s">
        <v>466</v>
      </c>
      <c r="B31" s="2" t="s">
        <v>530</v>
      </c>
      <c r="C31" s="2" t="s">
        <v>537</v>
      </c>
    </row>
    <row r="32" spans="1:3" x14ac:dyDescent="0.25">
      <c r="A32" s="2" t="s">
        <v>465</v>
      </c>
      <c r="B32" s="2" t="s">
        <v>531</v>
      </c>
      <c r="C32" s="2" t="s">
        <v>540</v>
      </c>
    </row>
    <row r="33" spans="1:3" x14ac:dyDescent="0.25">
      <c r="A33" s="2" t="s">
        <v>464</v>
      </c>
      <c r="B33" s="2" t="s">
        <v>532</v>
      </c>
      <c r="C33" s="2" t="s">
        <v>539</v>
      </c>
    </row>
    <row r="34" spans="1:3" x14ac:dyDescent="0.25">
      <c r="A34" s="2" t="s">
        <v>463</v>
      </c>
      <c r="B34" s="2" t="s">
        <v>535</v>
      </c>
      <c r="C34" s="2" t="s">
        <v>539</v>
      </c>
    </row>
    <row r="35" spans="1:3" x14ac:dyDescent="0.25">
      <c r="A35" s="2" t="s">
        <v>501</v>
      </c>
      <c r="B35" s="2" t="s">
        <v>533</v>
      </c>
      <c r="C35" s="2" t="s">
        <v>541</v>
      </c>
    </row>
    <row r="36" spans="1:3" x14ac:dyDescent="0.25">
      <c r="A36" s="2" t="s">
        <v>461</v>
      </c>
      <c r="B36" s="2" t="s">
        <v>534</v>
      </c>
      <c r="C36" s="2" t="s">
        <v>539</v>
      </c>
    </row>
    <row r="37" spans="1:3" x14ac:dyDescent="0.25">
      <c r="A37" s="2" t="s">
        <v>460</v>
      </c>
      <c r="B37" s="2" t="s">
        <v>536</v>
      </c>
      <c r="C37" s="2" t="s">
        <v>539</v>
      </c>
    </row>
  </sheetData>
  <hyperlinks>
    <hyperlink ref="B1" r:id="rId1" xr:uid="{BAA40607-AC5D-4C60-9991-77F5BAADD6AD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6B42-E26F-4897-AF36-A9EF4AA3E6D6}">
  <dimension ref="A3:K25"/>
  <sheetViews>
    <sheetView workbookViewId="0">
      <selection activeCell="D45" sqref="D45"/>
    </sheetView>
  </sheetViews>
  <sheetFormatPr defaultRowHeight="15" x14ac:dyDescent="0.25"/>
  <cols>
    <col min="1" max="1" width="19.5703125" style="18" bestFit="1" customWidth="1"/>
    <col min="2" max="2" width="15.42578125" style="18" bestFit="1" customWidth="1"/>
    <col min="3" max="3" width="13.5703125" style="18" bestFit="1" customWidth="1"/>
    <col min="4" max="4" width="9.140625" style="18"/>
    <col min="5" max="5" width="3.5703125" style="18" customWidth="1"/>
    <col min="6" max="6" width="28.28515625" style="18" bestFit="1" customWidth="1"/>
    <col min="7" max="7" width="15.42578125" style="18" bestFit="1" customWidth="1"/>
    <col min="8" max="8" width="3.5703125" style="18" customWidth="1"/>
    <col min="9" max="9" width="18.28515625" style="18" bestFit="1" customWidth="1"/>
    <col min="10" max="10" width="15.42578125" style="18" bestFit="1" customWidth="1"/>
    <col min="11" max="11" width="13.5703125" style="18" bestFit="1" customWidth="1"/>
    <col min="12" max="16384" width="9.140625" style="18"/>
  </cols>
  <sheetData>
    <row r="3" spans="1:11" x14ac:dyDescent="0.25">
      <c r="A3" s="6" t="s">
        <v>543</v>
      </c>
      <c r="B3" t="s">
        <v>545</v>
      </c>
      <c r="C3" t="s">
        <v>546</v>
      </c>
      <c r="D3" s="9" t="s">
        <v>547</v>
      </c>
      <c r="F3" s="6" t="s">
        <v>543</v>
      </c>
      <c r="G3" t="s">
        <v>545</v>
      </c>
      <c r="I3" s="6" t="s">
        <v>543</v>
      </c>
      <c r="J3" t="s">
        <v>545</v>
      </c>
      <c r="K3" t="s">
        <v>546</v>
      </c>
    </row>
    <row r="4" spans="1:11" x14ac:dyDescent="0.25">
      <c r="A4" s="7" t="s">
        <v>11</v>
      </c>
      <c r="B4" s="8">
        <v>209</v>
      </c>
      <c r="C4" s="8">
        <v>83</v>
      </c>
      <c r="D4" s="10">
        <f>GETPIVOTDATA("Sum of Termd",$A$3,"Department","Production       ")/GETPIVOTDATA("Sum of Termd",$A$3)</f>
        <v>0.79807692307692313</v>
      </c>
      <c r="F4" s="7" t="s">
        <v>13</v>
      </c>
      <c r="G4" s="8">
        <v>207</v>
      </c>
      <c r="I4" s="7" t="s">
        <v>55</v>
      </c>
      <c r="J4" s="8">
        <v>21</v>
      </c>
      <c r="K4" s="8">
        <v>13</v>
      </c>
    </row>
    <row r="5" spans="1:11" x14ac:dyDescent="0.25">
      <c r="A5" s="7" t="s">
        <v>24</v>
      </c>
      <c r="B5" s="8">
        <v>50</v>
      </c>
      <c r="C5" s="8">
        <v>10</v>
      </c>
      <c r="D5" s="10">
        <f>GETPIVOTDATA("Sum of Termd",$A$3,"Department","IT/IS")/GETPIVOTDATA("Sum of Termd",$A$3)</f>
        <v>9.6153846153846159E-2</v>
      </c>
      <c r="F5" s="7" t="s">
        <v>37</v>
      </c>
      <c r="G5" s="8">
        <v>20</v>
      </c>
      <c r="I5" s="7" t="s">
        <v>60</v>
      </c>
      <c r="J5" s="8">
        <v>21</v>
      </c>
      <c r="K5" s="8">
        <v>13</v>
      </c>
    </row>
    <row r="6" spans="1:11" x14ac:dyDescent="0.25">
      <c r="A6" s="7" t="s">
        <v>88</v>
      </c>
      <c r="B6" s="8">
        <v>31</v>
      </c>
      <c r="C6" s="8">
        <v>5</v>
      </c>
      <c r="D6" s="10">
        <f>GETPIVOTDATA("Sum of Termd",$A$3,"Department","Sales")/GETPIVOTDATA("Sum of Termd",$A$3)</f>
        <v>4.807692307692308E-2</v>
      </c>
      <c r="F6" s="7" t="s">
        <v>56</v>
      </c>
      <c r="G6" s="8">
        <v>14</v>
      </c>
      <c r="I6" s="7" t="s">
        <v>39</v>
      </c>
      <c r="J6" s="8">
        <v>22</v>
      </c>
      <c r="K6" s="8">
        <v>12</v>
      </c>
    </row>
    <row r="7" spans="1:11" x14ac:dyDescent="0.25">
      <c r="A7" s="7" t="s">
        <v>102</v>
      </c>
      <c r="B7" s="8">
        <v>11</v>
      </c>
      <c r="C7" s="8">
        <v>4</v>
      </c>
      <c r="D7" s="10">
        <f>GETPIVOTDATA("Sum of Termd",$A$3,"Department","Software Engineering")/GETPIVOTDATA("Sum of Termd",$A$3)</f>
        <v>3.8461538461538464E-2</v>
      </c>
      <c r="F7" s="7" t="s">
        <v>187</v>
      </c>
      <c r="G7" s="8">
        <v>11</v>
      </c>
      <c r="I7" s="7" t="s">
        <v>78</v>
      </c>
      <c r="J7" s="8">
        <v>22</v>
      </c>
      <c r="K7" s="8">
        <v>9</v>
      </c>
    </row>
    <row r="8" spans="1:11" x14ac:dyDescent="0.25">
      <c r="A8" s="7" t="s">
        <v>133</v>
      </c>
      <c r="B8" s="8">
        <v>9</v>
      </c>
      <c r="C8" s="8">
        <v>2</v>
      </c>
      <c r="D8" s="10">
        <f>GETPIVOTDATA("Sum of Termd",$A$3,"Department","Admin Offices")/GETPIVOTDATA("Sum of Termd",$A$3)</f>
        <v>1.9230769230769232E-2</v>
      </c>
      <c r="F8" s="7" t="s">
        <v>73</v>
      </c>
      <c r="G8" s="8">
        <v>9</v>
      </c>
      <c r="I8" s="7" t="s">
        <v>23</v>
      </c>
      <c r="J8" s="8">
        <v>17</v>
      </c>
      <c r="K8" s="8">
        <v>8</v>
      </c>
    </row>
    <row r="9" spans="1:11" x14ac:dyDescent="0.25">
      <c r="A9" s="7" t="s">
        <v>281</v>
      </c>
      <c r="B9" s="8">
        <v>1</v>
      </c>
      <c r="C9" s="8">
        <v>0</v>
      </c>
      <c r="D9" s="10">
        <f>GETPIVOTDATA("Sum of Termd",$A$3,"Department","Executive Office")/GETPIVOTDATA("Sum of Termd",$A$3)</f>
        <v>0</v>
      </c>
      <c r="F9" s="7" t="s">
        <v>61</v>
      </c>
      <c r="G9" s="8">
        <v>8</v>
      </c>
      <c r="I9" s="7" t="s">
        <v>72</v>
      </c>
      <c r="J9" s="8">
        <v>22</v>
      </c>
      <c r="K9" s="8">
        <v>8</v>
      </c>
    </row>
    <row r="10" spans="1:11" x14ac:dyDescent="0.25">
      <c r="A10" s="7" t="s">
        <v>544</v>
      </c>
      <c r="B10" s="8">
        <v>311</v>
      </c>
      <c r="C10" s="8">
        <v>104</v>
      </c>
      <c r="D10" s="20"/>
      <c r="F10" s="7" t="s">
        <v>178</v>
      </c>
      <c r="G10" s="8">
        <v>7</v>
      </c>
      <c r="I10" s="7" t="s">
        <v>10</v>
      </c>
      <c r="J10" s="8">
        <v>21</v>
      </c>
      <c r="K10" s="8">
        <v>6</v>
      </c>
    </row>
    <row r="11" spans="1:11" x14ac:dyDescent="0.25">
      <c r="F11" s="7" t="s">
        <v>48</v>
      </c>
      <c r="G11" s="8">
        <v>5</v>
      </c>
      <c r="I11" s="7" t="s">
        <v>80</v>
      </c>
      <c r="J11" s="8">
        <v>22</v>
      </c>
      <c r="K11" s="8">
        <v>6</v>
      </c>
    </row>
    <row r="12" spans="1:11" x14ac:dyDescent="0.25">
      <c r="F12" s="7" t="s">
        <v>117</v>
      </c>
      <c r="G12" s="8">
        <v>5</v>
      </c>
      <c r="I12" s="7" t="s">
        <v>35</v>
      </c>
      <c r="J12" s="8">
        <v>22</v>
      </c>
      <c r="K12" s="8">
        <v>6</v>
      </c>
    </row>
    <row r="13" spans="1:11" x14ac:dyDescent="0.25">
      <c r="F13" s="7" t="s">
        <v>44</v>
      </c>
      <c r="G13" s="8">
        <v>4</v>
      </c>
      <c r="I13" s="7" t="s">
        <v>30</v>
      </c>
      <c r="J13" s="8">
        <v>19</v>
      </c>
      <c r="K13" s="8">
        <v>6</v>
      </c>
    </row>
    <row r="14" spans="1:11" x14ac:dyDescent="0.25">
      <c r="F14" s="7" t="s">
        <v>205</v>
      </c>
      <c r="G14" s="8">
        <v>4</v>
      </c>
      <c r="I14" s="7" t="s">
        <v>47</v>
      </c>
      <c r="J14" s="8">
        <v>21</v>
      </c>
      <c r="K14" s="8">
        <v>5</v>
      </c>
    </row>
    <row r="15" spans="1:11" x14ac:dyDescent="0.25">
      <c r="F15" s="7" t="s">
        <v>84</v>
      </c>
      <c r="G15" s="8">
        <v>4</v>
      </c>
      <c r="I15" s="7" t="s">
        <v>101</v>
      </c>
      <c r="J15" s="8">
        <v>9</v>
      </c>
      <c r="K15" s="8">
        <v>3</v>
      </c>
    </row>
    <row r="16" spans="1:11" x14ac:dyDescent="0.25">
      <c r="F16" s="7" t="s">
        <v>115</v>
      </c>
      <c r="G16" s="8">
        <v>4</v>
      </c>
      <c r="I16" s="7" t="s">
        <v>87</v>
      </c>
      <c r="J16" s="8">
        <v>14</v>
      </c>
      <c r="K16" s="8">
        <v>3</v>
      </c>
    </row>
    <row r="17" spans="6:11" x14ac:dyDescent="0.25">
      <c r="F17" s="7" t="s">
        <v>93</v>
      </c>
      <c r="G17" s="8">
        <v>3</v>
      </c>
      <c r="I17" s="7" t="s">
        <v>132</v>
      </c>
      <c r="J17" s="8">
        <v>7</v>
      </c>
      <c r="K17" s="8">
        <v>2</v>
      </c>
    </row>
    <row r="18" spans="6:11" x14ac:dyDescent="0.25">
      <c r="F18" s="7" t="s">
        <v>103</v>
      </c>
      <c r="G18" s="8">
        <v>3</v>
      </c>
      <c r="I18" s="7" t="s">
        <v>63</v>
      </c>
      <c r="J18" s="8">
        <v>14</v>
      </c>
      <c r="K18" s="8">
        <v>1</v>
      </c>
    </row>
    <row r="19" spans="6:11" x14ac:dyDescent="0.25">
      <c r="F19" s="7" t="s">
        <v>431</v>
      </c>
      <c r="G19" s="8">
        <v>1</v>
      </c>
      <c r="I19" s="7" t="s">
        <v>166</v>
      </c>
      <c r="J19" s="8">
        <v>7</v>
      </c>
      <c r="K19" s="8">
        <v>1</v>
      </c>
    </row>
    <row r="20" spans="6:11" x14ac:dyDescent="0.25">
      <c r="F20" s="7" t="s">
        <v>350</v>
      </c>
      <c r="G20" s="8">
        <v>1</v>
      </c>
      <c r="I20" s="7" t="s">
        <v>109</v>
      </c>
      <c r="J20" s="8">
        <v>13</v>
      </c>
      <c r="K20" s="8">
        <v>1</v>
      </c>
    </row>
    <row r="21" spans="6:11" x14ac:dyDescent="0.25">
      <c r="F21" s="7" t="s">
        <v>82</v>
      </c>
      <c r="G21" s="8">
        <v>1</v>
      </c>
      <c r="I21" s="7" t="s">
        <v>149</v>
      </c>
      <c r="J21" s="8">
        <v>3</v>
      </c>
      <c r="K21" s="8">
        <v>1</v>
      </c>
    </row>
    <row r="22" spans="6:11" x14ac:dyDescent="0.25">
      <c r="F22" s="7" t="s">
        <v>544</v>
      </c>
      <c r="G22" s="8">
        <v>311</v>
      </c>
      <c r="I22" s="7" t="s">
        <v>67</v>
      </c>
      <c r="J22" s="8">
        <v>8</v>
      </c>
      <c r="K22" s="8">
        <v>0</v>
      </c>
    </row>
    <row r="23" spans="6:11" x14ac:dyDescent="0.25">
      <c r="I23" s="7" t="s">
        <v>143</v>
      </c>
      <c r="J23" s="8">
        <v>4</v>
      </c>
      <c r="K23" s="8">
        <v>0</v>
      </c>
    </row>
    <row r="24" spans="6:11" x14ac:dyDescent="0.25">
      <c r="I24" s="7" t="s">
        <v>280</v>
      </c>
      <c r="J24" s="8">
        <v>2</v>
      </c>
      <c r="K24" s="8">
        <v>0</v>
      </c>
    </row>
    <row r="25" spans="6:11" x14ac:dyDescent="0.25">
      <c r="I25" s="7" t="s">
        <v>544</v>
      </c>
      <c r="J25" s="8">
        <v>311</v>
      </c>
      <c r="K25" s="8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D75-BA65-4894-8F9C-24E55E963381}">
  <dimension ref="A1:N14"/>
  <sheetViews>
    <sheetView workbookViewId="0">
      <selection activeCell="G49" sqref="G49"/>
    </sheetView>
  </sheetViews>
  <sheetFormatPr defaultRowHeight="15" x14ac:dyDescent="0.25"/>
  <cols>
    <col min="1" max="1" width="13.42578125" style="18" customWidth="1"/>
    <col min="2" max="2" width="11.85546875" style="18" customWidth="1"/>
    <col min="3" max="3" width="13.140625" style="18" customWidth="1"/>
    <col min="4" max="4" width="9.140625" style="18"/>
    <col min="5" max="5" width="14.42578125" style="18" customWidth="1"/>
    <col min="6" max="6" width="2" style="18" customWidth="1"/>
    <col min="7" max="7" width="29.5703125" style="19" customWidth="1"/>
    <col min="8" max="9" width="11" style="18" customWidth="1"/>
    <col min="10" max="10" width="1.85546875" style="18" customWidth="1"/>
    <col min="11" max="11" width="27.28515625" style="18" customWidth="1"/>
    <col min="12" max="12" width="12" style="18" customWidth="1"/>
    <col min="13" max="13" width="14.140625" style="18" hidden="1" customWidth="1"/>
    <col min="14" max="14" width="15.140625" style="18" customWidth="1"/>
    <col min="15" max="16384" width="9.140625" style="18"/>
  </cols>
  <sheetData>
    <row r="1" spans="1:14" s="14" customFormat="1" ht="25.5" customHeight="1" x14ac:dyDescent="0.25">
      <c r="A1" s="14" t="s">
        <v>548</v>
      </c>
    </row>
    <row r="2" spans="1:14" x14ac:dyDescent="0.25">
      <c r="A2" s="19"/>
      <c r="B2" s="19"/>
      <c r="H2" s="19"/>
      <c r="I2" s="19"/>
      <c r="J2" s="19"/>
    </row>
    <row r="3" spans="1:14" x14ac:dyDescent="0.25">
      <c r="A3" s="15" t="s">
        <v>549</v>
      </c>
      <c r="B3" s="15"/>
      <c r="C3" s="15"/>
      <c r="D3" s="15"/>
      <c r="E3" s="15"/>
      <c r="G3" s="15" t="s">
        <v>552</v>
      </c>
      <c r="H3" s="15"/>
      <c r="I3" s="15"/>
      <c r="J3" s="19"/>
      <c r="K3" s="15" t="s">
        <v>556</v>
      </c>
      <c r="L3" s="15"/>
      <c r="M3" s="15"/>
      <c r="N3" s="15"/>
    </row>
    <row r="4" spans="1:14" ht="15.75" thickBot="1" x14ac:dyDescent="0.3">
      <c r="A4" s="16" t="s">
        <v>470</v>
      </c>
      <c r="B4" s="16" t="s">
        <v>550</v>
      </c>
      <c r="C4" s="16" t="s">
        <v>3</v>
      </c>
      <c r="D4" s="16" t="s">
        <v>12</v>
      </c>
      <c r="E4" s="16" t="s">
        <v>551</v>
      </c>
      <c r="G4" s="16" t="s">
        <v>553</v>
      </c>
      <c r="H4" s="16" t="s">
        <v>554</v>
      </c>
      <c r="I4" s="16" t="s">
        <v>555</v>
      </c>
      <c r="J4" s="19"/>
      <c r="K4" s="17" t="s">
        <v>557</v>
      </c>
      <c r="L4" s="17" t="s">
        <v>558</v>
      </c>
      <c r="M4" s="17" t="s">
        <v>560</v>
      </c>
      <c r="N4" s="17" t="s">
        <v>551</v>
      </c>
    </row>
    <row r="5" spans="1:14" x14ac:dyDescent="0.25">
      <c r="A5" s="2" t="str">
        <f>INDEX('Pivot Tables'!A4,1,1)</f>
        <v xml:space="preserve">Production       </v>
      </c>
      <c r="B5" s="2">
        <f>VLOOKUP(A5,'Pivot Tables'!$A$4:$C$9,2,FALSE)</f>
        <v>209</v>
      </c>
      <c r="C5" s="2">
        <f>VLOOKUP(A5,'Pivot Tables'!$A$4:$C$9,3,FALSE)</f>
        <v>83</v>
      </c>
      <c r="D5" s="2">
        <f>B5-C5</f>
        <v>126</v>
      </c>
      <c r="E5" s="11">
        <f>C5/B5</f>
        <v>0.39712918660287083</v>
      </c>
      <c r="G5" s="2" t="str">
        <f>INDEX('Pivot Tables'!F5:F14,1,1)</f>
        <v>Another position</v>
      </c>
      <c r="H5" s="2">
        <f>VLOOKUP(G5,'Pivot Tables'!F4:G21,2,FALSE)</f>
        <v>20</v>
      </c>
      <c r="I5" s="11">
        <f>H5/Total_Terminations</f>
        <v>0.19230769230769232</v>
      </c>
      <c r="J5" s="19"/>
      <c r="K5" s="12" t="str">
        <f>INDEX('Pivot Tables'!I4:I24,1,1)</f>
        <v>Amy Dunn</v>
      </c>
      <c r="L5" s="12">
        <f>VLOOKUP(K5,'Pivot Tables'!$I$4:$K$24,2,FALSE)</f>
        <v>21</v>
      </c>
      <c r="M5" s="12">
        <f>VLOOKUP('Attrition Analysis'!K5,'Pivot Tables'!$I$4:$K$24,3,FALSE)</f>
        <v>13</v>
      </c>
      <c r="N5" s="13">
        <f>M5/L5</f>
        <v>0.61904761904761907</v>
      </c>
    </row>
    <row r="6" spans="1:14" x14ac:dyDescent="0.25">
      <c r="A6" s="2" t="str">
        <f>INDEX('Pivot Tables'!A7,1,1)</f>
        <v>Software Engineering</v>
      </c>
      <c r="B6" s="2">
        <f>VLOOKUP(A6,'Pivot Tables'!$A$4:$C$9,2,FALSE)</f>
        <v>11</v>
      </c>
      <c r="C6" s="2">
        <f>VLOOKUP(A6,'Pivot Tables'!$A$4:$C$9,3,FALSE)</f>
        <v>4</v>
      </c>
      <c r="D6" s="2">
        <f>B6-C6</f>
        <v>7</v>
      </c>
      <c r="E6" s="11">
        <f>C6/B6</f>
        <v>0.36363636363636365</v>
      </c>
      <c r="G6" s="2" t="str">
        <f>INDEX('Pivot Tables'!F6:F15,1,1)</f>
        <v>unhappy</v>
      </c>
      <c r="H6" s="2">
        <f>VLOOKUP(G6,'Pivot Tables'!F5:G22,2,FALSE)</f>
        <v>14</v>
      </c>
      <c r="I6" s="11">
        <f>H6/Total_Terminations</f>
        <v>0.13461538461538461</v>
      </c>
      <c r="J6" s="19"/>
      <c r="K6" s="2" t="str">
        <f>INDEX('Pivot Tables'!I6:I26,1,1)</f>
        <v>Kissy Sullivan</v>
      </c>
      <c r="L6" s="2">
        <f>VLOOKUP(K6,'Pivot Tables'!$I$4:$K$24,2,FALSE)</f>
        <v>22</v>
      </c>
      <c r="M6" s="2">
        <f>VLOOKUP('Attrition Analysis'!K6,'Pivot Tables'!$I$4:$K$24,3,FALSE)</f>
        <v>12</v>
      </c>
      <c r="N6" s="11">
        <f>M6/L6</f>
        <v>0.54545454545454541</v>
      </c>
    </row>
    <row r="7" spans="1:14" x14ac:dyDescent="0.25">
      <c r="A7" s="2" t="str">
        <f>INDEX('Pivot Tables'!A8,1,1)</f>
        <v>Admin Offices</v>
      </c>
      <c r="B7" s="2">
        <f>VLOOKUP(A7,'Pivot Tables'!$A$4:$C$9,2,FALSE)</f>
        <v>9</v>
      </c>
      <c r="C7" s="2">
        <f>VLOOKUP(A7,'Pivot Tables'!$A$4:$C$9,3,FALSE)</f>
        <v>2</v>
      </c>
      <c r="D7" s="2">
        <f>B7-C7</f>
        <v>7</v>
      </c>
      <c r="E7" s="11">
        <f>C7/B7</f>
        <v>0.22222222222222221</v>
      </c>
      <c r="G7" s="2" t="str">
        <f>INDEX('Pivot Tables'!F7:F16,1,1)</f>
        <v>more money</v>
      </c>
      <c r="H7" s="2">
        <f>VLOOKUP(G7,'Pivot Tables'!F6:G23,2,FALSE)</f>
        <v>11</v>
      </c>
      <c r="I7" s="11">
        <f>H7/Total_Terminations</f>
        <v>0.10576923076923077</v>
      </c>
      <c r="J7" s="19"/>
      <c r="K7" s="12" t="str">
        <f>INDEX('Pivot Tables'!I8:I28,1,1)</f>
        <v>Simon Roup</v>
      </c>
      <c r="L7" s="12">
        <f>VLOOKUP(K7,'Pivot Tables'!$I$4:$K$24,2,FALSE)</f>
        <v>17</v>
      </c>
      <c r="M7" s="12">
        <f>VLOOKUP('Attrition Analysis'!K8,'Pivot Tables'!$I$4:$K$24,3,FALSE)</f>
        <v>9</v>
      </c>
      <c r="N7" s="13">
        <f>M7/L7</f>
        <v>0.52941176470588236</v>
      </c>
    </row>
    <row r="8" spans="1:14" x14ac:dyDescent="0.25">
      <c r="A8" s="2" t="str">
        <f>INDEX('Pivot Tables'!A5,1,1)</f>
        <v>IT/IS</v>
      </c>
      <c r="B8" s="2">
        <f>VLOOKUP(A8,'Pivot Tables'!$A$4:$C$9,2,FALSE)</f>
        <v>50</v>
      </c>
      <c r="C8" s="2">
        <f>VLOOKUP(A8,'Pivot Tables'!$A$4:$C$9,3,FALSE)</f>
        <v>10</v>
      </c>
      <c r="D8" s="2">
        <f>B8-C8</f>
        <v>40</v>
      </c>
      <c r="E8" s="11">
        <f>C8/B8</f>
        <v>0.2</v>
      </c>
      <c r="G8" s="2" t="str">
        <f>INDEX('Pivot Tables'!F8:F17,1,1)</f>
        <v>career change</v>
      </c>
      <c r="H8" s="2">
        <f>VLOOKUP(G8,'Pivot Tables'!F7:G24,2,FALSE)</f>
        <v>9</v>
      </c>
      <c r="I8" s="11">
        <f>H8/Total_Terminations</f>
        <v>8.6538461538461536E-2</v>
      </c>
      <c r="J8" s="19"/>
      <c r="K8" s="2" t="str">
        <f>INDEX('Pivot Tables'!I7:I27,1,1)</f>
        <v>Michael Albert</v>
      </c>
      <c r="L8" s="2">
        <f>VLOOKUP(K8,'Pivot Tables'!$I$4:$K$24,2,FALSE)</f>
        <v>22</v>
      </c>
      <c r="M8" s="2">
        <f>VLOOKUP('Attrition Analysis'!K7,'Pivot Tables'!$I$4:$K$24,3,FALSE)</f>
        <v>8</v>
      </c>
      <c r="N8" s="11">
        <f>M8/L8</f>
        <v>0.36363636363636365</v>
      </c>
    </row>
    <row r="9" spans="1:14" x14ac:dyDescent="0.25">
      <c r="A9" s="2" t="str">
        <f>INDEX('Pivot Tables'!A6,1,1)</f>
        <v>Sales</v>
      </c>
      <c r="B9" s="2">
        <f>VLOOKUP(A9,'Pivot Tables'!$A$4:$C$9,2,FALSE)</f>
        <v>31</v>
      </c>
      <c r="C9" s="2">
        <f>VLOOKUP(A9,'Pivot Tables'!$A$4:$C$9,3,FALSE)</f>
        <v>5</v>
      </c>
      <c r="D9" s="2">
        <f>B9-C9</f>
        <v>26</v>
      </c>
      <c r="E9" s="11">
        <f>C9/B9</f>
        <v>0.16129032258064516</v>
      </c>
      <c r="G9" s="2" t="str">
        <f>INDEX('Pivot Tables'!F9:F18,1,1)</f>
        <v>hours</v>
      </c>
      <c r="H9" s="2">
        <f>VLOOKUP(G9,'Pivot Tables'!F8:G25,2,FALSE)</f>
        <v>8</v>
      </c>
      <c r="I9" s="11">
        <f>H9/Total_Terminations</f>
        <v>7.6923076923076927E-2</v>
      </c>
      <c r="K9" s="12" t="str">
        <f>INDEX('Pivot Tables'!I9:I29,1,1)</f>
        <v>Elijiah Gray</v>
      </c>
      <c r="L9" s="12">
        <f>VLOOKUP(K9,'Pivot Tables'!$I$4:$K$24,2,FALSE)</f>
        <v>22</v>
      </c>
      <c r="M9" s="12">
        <f>VLOOKUP('Attrition Analysis'!K9,'Pivot Tables'!$I$4:$K$24,3,FALSE)</f>
        <v>8</v>
      </c>
      <c r="N9" s="13">
        <f>M9/L9</f>
        <v>0.36363636363636365</v>
      </c>
    </row>
    <row r="10" spans="1:14" x14ac:dyDescent="0.25">
      <c r="A10" s="2" t="str">
        <f>INDEX('Pivot Tables'!A9,1,1)</f>
        <v>Executive Office</v>
      </c>
      <c r="B10" s="2">
        <f>VLOOKUP(A10,'Pivot Tables'!$A$4:$C$9,2,FALSE)</f>
        <v>1</v>
      </c>
      <c r="C10" s="2">
        <f>VLOOKUP(A10,'Pivot Tables'!$A$4:$C$9,3,FALSE)</f>
        <v>0</v>
      </c>
      <c r="D10" s="2">
        <f>B10-C10</f>
        <v>1</v>
      </c>
      <c r="E10" s="11">
        <f>C10/B10</f>
        <v>0</v>
      </c>
      <c r="G10" s="2" t="str">
        <f>INDEX('Pivot Tables'!F10:F19,1,1)</f>
        <v>attendance</v>
      </c>
      <c r="H10" s="2">
        <f>VLOOKUP(G10,'Pivot Tables'!F9:G26,2,FALSE)</f>
        <v>7</v>
      </c>
      <c r="I10" s="11">
        <f>H10/Total_Terminations</f>
        <v>6.7307692307692304E-2</v>
      </c>
      <c r="K10" s="2" t="str">
        <f>INDEX('Pivot Tables'!I13:I33,1,1)</f>
        <v>Janet King</v>
      </c>
      <c r="L10" s="2">
        <f>VLOOKUP(K10,'Pivot Tables'!$I$4:$K$24,2,FALSE)</f>
        <v>19</v>
      </c>
      <c r="M10" s="2">
        <f>VLOOKUP('Attrition Analysis'!K13,'Pivot Tables'!$I$4:$K$24,3,FALSE)</f>
        <v>6</v>
      </c>
      <c r="N10" s="11">
        <f>M10/L10</f>
        <v>0.31578947368421051</v>
      </c>
    </row>
    <row r="11" spans="1:14" x14ac:dyDescent="0.25">
      <c r="A11" s="2" t="s">
        <v>559</v>
      </c>
      <c r="B11" s="2">
        <f>SUM(B5:B10)</f>
        <v>311</v>
      </c>
      <c r="C11" s="2">
        <f>SUM(C5:C10)</f>
        <v>104</v>
      </c>
      <c r="D11" s="2">
        <f>SUM(D5:D10)</f>
        <v>207</v>
      </c>
      <c r="E11" s="2"/>
      <c r="G11" s="2" t="str">
        <f>INDEX('Pivot Tables'!F11:F20,1,1)</f>
        <v>relocation out of area</v>
      </c>
      <c r="H11" s="2">
        <f>VLOOKUP(G11,'Pivot Tables'!F10:G27,2,FALSE)</f>
        <v>5</v>
      </c>
      <c r="I11" s="11">
        <f>H11/Total_Terminations</f>
        <v>4.807692307692308E-2</v>
      </c>
      <c r="K11" s="12" t="str">
        <f>INDEX('Pivot Tables'!I10:I30,1,1)</f>
        <v>David Stanley</v>
      </c>
      <c r="L11" s="12">
        <f>VLOOKUP(K11,'Pivot Tables'!$I$4:$K$24,2,FALSE)</f>
        <v>21</v>
      </c>
      <c r="M11" s="12">
        <f>VLOOKUP('Attrition Analysis'!K10,'Pivot Tables'!$I$4:$K$24,3,FALSE)</f>
        <v>6</v>
      </c>
      <c r="N11" s="13">
        <f>M11/L11</f>
        <v>0.2857142857142857</v>
      </c>
    </row>
    <row r="12" spans="1:14" x14ac:dyDescent="0.25">
      <c r="G12" s="2" t="str">
        <f>INDEX('Pivot Tables'!F12:F21,1,1)</f>
        <v>return to school</v>
      </c>
      <c r="H12" s="2">
        <f>VLOOKUP(G12,'Pivot Tables'!F11:G28,2,FALSE)</f>
        <v>5</v>
      </c>
      <c r="I12" s="11">
        <f>H12/Total_Terminations</f>
        <v>4.807692307692308E-2</v>
      </c>
      <c r="K12" s="2" t="str">
        <f>INDEX('Pivot Tables'!I11:I31,1,1)</f>
        <v>Kelley Spirea</v>
      </c>
      <c r="L12" s="2">
        <f>VLOOKUP(K12,'Pivot Tables'!$I$4:$K$24,2,FALSE)</f>
        <v>22</v>
      </c>
      <c r="M12" s="2">
        <f>VLOOKUP('Attrition Analysis'!K11,'Pivot Tables'!$I$4:$K$24,3,FALSE)</f>
        <v>6</v>
      </c>
      <c r="N12" s="11">
        <f>M12/L12</f>
        <v>0.27272727272727271</v>
      </c>
    </row>
    <row r="13" spans="1:14" x14ac:dyDescent="0.25">
      <c r="G13" s="2" t="str">
        <f>INDEX('Pivot Tables'!F13:F22,1,1)</f>
        <v>retiring</v>
      </c>
      <c r="H13" s="2">
        <f>VLOOKUP(G13,'Pivot Tables'!F12:G29,2,FALSE)</f>
        <v>4</v>
      </c>
      <c r="I13" s="11">
        <f>H13/Total_Terminations</f>
        <v>3.8461538461538464E-2</v>
      </c>
      <c r="K13" s="12" t="str">
        <f>INDEX('Pivot Tables'!I12:I32,1,1)</f>
        <v>Brannon Miller</v>
      </c>
      <c r="L13" s="12">
        <f>VLOOKUP(K13,'Pivot Tables'!$I$4:$K$24,2,FALSE)</f>
        <v>22</v>
      </c>
      <c r="M13" s="12">
        <f>VLOOKUP('Attrition Analysis'!K12,'Pivot Tables'!$I$4:$K$24,3,FALSE)</f>
        <v>6</v>
      </c>
      <c r="N13" s="13">
        <f>M13/L13</f>
        <v>0.27272727272727271</v>
      </c>
    </row>
    <row r="14" spans="1:14" x14ac:dyDescent="0.25">
      <c r="G14" s="2" t="str">
        <f>INDEX('Pivot Tables'!F14:F23,1,1)</f>
        <v>performance</v>
      </c>
      <c r="H14" s="2">
        <f>VLOOKUP(G14,'Pivot Tables'!F13:G30,2,FALSE)</f>
        <v>4</v>
      </c>
      <c r="I14" s="11">
        <f>H14/Total_Terminations</f>
        <v>3.8461538461538464E-2</v>
      </c>
    </row>
  </sheetData>
  <mergeCells count="4">
    <mergeCell ref="A1:XFD1"/>
    <mergeCell ref="A3:E3"/>
    <mergeCell ref="G3:I3"/>
    <mergeCell ref="K3:N3"/>
  </mergeCells>
  <conditionalFormatting sqref="E5:E10">
    <cfRule type="colorScale" priority="1">
      <colorScale>
        <cfvo type="min"/>
        <cfvo type="percentile" val="50"/>
        <cfvo type="max"/>
        <color theme="9" tint="0.59999389629810485"/>
        <color rgb="FFFFF5C5"/>
        <color rgb="FFFC8E8E"/>
      </colorScale>
    </cfRule>
  </conditionalFormatting>
  <conditionalFormatting sqref="N5:N13">
    <cfRule type="colorScale" priority="2">
      <colorScale>
        <cfvo type="min"/>
        <cfvo type="percentile" val="50"/>
        <cfvo type="max"/>
        <color theme="9" tint="0.59999389629810485"/>
        <color rgb="FFFFF5C5"/>
        <color rgb="FFFC8E8E"/>
      </colorScale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Raw_data</vt:lpstr>
      <vt:lpstr>Data Dictionary</vt:lpstr>
      <vt:lpstr>Pivot Tables</vt:lpstr>
      <vt:lpstr>Attrition Analysis</vt:lpstr>
      <vt:lpstr>Total_Active</vt:lpstr>
      <vt:lpstr>Total_Employees</vt:lpstr>
      <vt:lpstr>Total_Terminations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Fish</cp:lastModifiedBy>
  <dcterms:created xsi:type="dcterms:W3CDTF">2026-04-25T02:38:15Z</dcterms:created>
  <dcterms:modified xsi:type="dcterms:W3CDTF">2026-04-25T02:55:48Z</dcterms:modified>
</cp:coreProperties>
</file>